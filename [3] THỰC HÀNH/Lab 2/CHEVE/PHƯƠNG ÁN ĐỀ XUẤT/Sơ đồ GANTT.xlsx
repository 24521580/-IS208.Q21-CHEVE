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5"/>
  </sheets>
  <definedNames/>
  <calcPr/>
</workbook>
</file>

<file path=xl/sharedStrings.xml><?xml version="1.0" encoding="utf-8"?>
<sst xmlns="http://schemas.openxmlformats.org/spreadsheetml/2006/main" count="221" uniqueCount="136">
  <si>
    <t>Start Date</t>
  </si>
  <si>
    <t>STT</t>
  </si>
  <si>
    <t>Project</t>
  </si>
  <si>
    <t>Status</t>
  </si>
  <si>
    <t>reporter</t>
  </si>
  <si>
    <t>Start</t>
  </si>
  <si>
    <t>End</t>
  </si>
  <si>
    <t>duration</t>
  </si>
  <si>
    <t>Khởi động dự án</t>
  </si>
  <si>
    <t>Xác định yêu cầu dự án</t>
  </si>
  <si>
    <t>Done</t>
  </si>
  <si>
    <t>1.1.1</t>
  </si>
  <si>
    <t>Xác định mục tiêu</t>
  </si>
  <si>
    <t>1.1.2</t>
  </si>
  <si>
    <t>Xác định phạm vi dự án</t>
  </si>
  <si>
    <t>1.1.3</t>
  </si>
  <si>
    <t>Xác định người quản lý dự án và các bên liên quan</t>
  </si>
  <si>
    <t>1.1.4</t>
  </si>
  <si>
    <t>Xác định rủi ro và tính khả thi của dự án</t>
  </si>
  <si>
    <t>Xây dựng các tài liệu</t>
  </si>
  <si>
    <t>1.2.1</t>
  </si>
  <si>
    <t>SOW</t>
  </si>
  <si>
    <t>1.2.2</t>
  </si>
  <si>
    <t>Project Charter</t>
  </si>
  <si>
    <t>1.2.3</t>
  </si>
  <si>
    <t>Project Business case</t>
  </si>
  <si>
    <t>Rà soát công tác chuẩn bị và họp khởi động dự án</t>
  </si>
  <si>
    <t>Phân tích</t>
  </si>
  <si>
    <t>Thu thập yêu cầu</t>
  </si>
  <si>
    <t>2.1.1</t>
  </si>
  <si>
    <t>Khảo sát hiện trạng</t>
  </si>
  <si>
    <t>2.1.2</t>
  </si>
  <si>
    <t>Tìm hiểu quy trình quản lý sự kiện và bán vé</t>
  </si>
  <si>
    <t>Phân tích yêu cầu</t>
  </si>
  <si>
    <t>2.2.1</t>
  </si>
  <si>
    <t>Xác định yêu cầu chức năng và phi chức năng</t>
  </si>
  <si>
    <t>Viết tài liệu đặc tả chức năng (SRS)</t>
  </si>
  <si>
    <t>Xác nhận yêu cầu với khách hàng</t>
  </si>
  <si>
    <t>2.2.2</t>
  </si>
  <si>
    <t>Xác định các ràng buộc của hệ thống</t>
  </si>
  <si>
    <t>2.3.3</t>
  </si>
  <si>
    <t>Xác định yêu cầu kỹ thuật</t>
  </si>
  <si>
    <t>2.3.1</t>
  </si>
  <si>
    <t>Xây dựng tài liệu Đặc tả chức năng (SRS)</t>
  </si>
  <si>
    <t>2.3.2</t>
  </si>
  <si>
    <t>Xây dựng kế hoạch triển khai</t>
  </si>
  <si>
    <t xml:space="preserve">Thiết kế hệ thống </t>
  </si>
  <si>
    <t>Thiết kế cơ sở dữ liệu</t>
  </si>
  <si>
    <t>Doing</t>
  </si>
  <si>
    <t>3.1.1</t>
  </si>
  <si>
    <t>Xác định thực thể và mối quan hệ</t>
  </si>
  <si>
    <t>3.1.2</t>
  </si>
  <si>
    <t>Thiết kế sơ đồ ERD</t>
  </si>
  <si>
    <t>3.1.3</t>
  </si>
  <si>
    <t>Ánh xạ mô hình dữ liệu</t>
  </si>
  <si>
    <t>Thiết kế kiến trúc hệ thống</t>
  </si>
  <si>
    <t>3.2.1</t>
  </si>
  <si>
    <t>Vẽ Use Case Diagram</t>
  </si>
  <si>
    <t>3.2.2</t>
  </si>
  <si>
    <t>Vẽ Activity Diagram</t>
  </si>
  <si>
    <t>3.2.3</t>
  </si>
  <si>
    <t>Thiết kế API</t>
  </si>
  <si>
    <t>3.2.4</t>
  </si>
  <si>
    <t>Thiết kế cơ chế bảo mật</t>
  </si>
  <si>
    <t>Thiết kế giao diện người dùng (UX/UI)</t>
  </si>
  <si>
    <t>3.3.1</t>
  </si>
  <si>
    <t>Thiết kế User flow</t>
  </si>
  <si>
    <t>3.3.2</t>
  </si>
  <si>
    <t>Thiết kế Wireframe</t>
  </si>
  <si>
    <t>3.3.3</t>
  </si>
  <si>
    <t>Thiết kế User interface (UI)</t>
  </si>
  <si>
    <t>3.3.4</t>
  </si>
  <si>
    <t>Thiết kế Prototype</t>
  </si>
  <si>
    <t>3.4.1</t>
  </si>
  <si>
    <t>Xây dựng tài liệu Đặc tả thiết kế</t>
  </si>
  <si>
    <t>3.4.2</t>
  </si>
  <si>
    <t>Xây dựng kế hoạch kiểm thử chấp nhận</t>
  </si>
  <si>
    <t>Xây dựng hệ thống</t>
  </si>
  <si>
    <t xml:space="preserve">Xây dựng các chức năng cho người dùng </t>
  </si>
  <si>
    <t>4.1.1</t>
  </si>
  <si>
    <t>Xây dựng chức năng đăng ký/đăng nhập</t>
  </si>
  <si>
    <t>4.1.2</t>
  </si>
  <si>
    <t>Xây dựng chức năng tìm kiếm và lọc sự kiện nâng cao</t>
  </si>
  <si>
    <t>4.1.3</t>
  </si>
  <si>
    <t>Xây dựng chức năng giỏ hàng và thanh toán trực tuyến tự động (Momo, VNPAY)</t>
  </si>
  <si>
    <t>4.1.4</t>
  </si>
  <si>
    <t>Xây dựng chức năng tự động nhận vé điện tử (QR Code) định danh qua Email</t>
  </si>
  <si>
    <t xml:space="preserve">Xây dựng các chức năng cho ban tổ chức </t>
  </si>
  <si>
    <t>4.2.1</t>
  </si>
  <si>
    <t xml:space="preserve">Xây dựng chức năng phân quyền người dùng (Admin, Nhân
viên soát vé)
</t>
  </si>
  <si>
    <t>4.2.2</t>
  </si>
  <si>
    <t>Xây dựng chức năng quản lý sự kiện, hạng vé, mã giảm giá (Voucher)</t>
  </si>
  <si>
    <t>4.2.3</t>
  </si>
  <si>
    <t>Xây dựng chức năng quản lý khách hàng và tra cứu trạng thái vé</t>
  </si>
  <si>
    <t>4.2.4</t>
  </si>
  <si>
    <t>Xây dựng ứng dụng/Web nội bộ quét mã QR để soát vé tại cổng</t>
  </si>
  <si>
    <t>4.2.5</t>
  </si>
  <si>
    <t>Xây dựng tính năng dashboard thống kê doanh thu và lượt mua theo thời gian thực (Real-time)</t>
  </si>
  <si>
    <t>Kết nối với cơ sở dữ liệu</t>
  </si>
  <si>
    <t>Xây dựng giao diện người dùng</t>
  </si>
  <si>
    <t>4.4.1</t>
  </si>
  <si>
    <t>Xây dựng backend</t>
  </si>
  <si>
    <t>4.4.2</t>
  </si>
  <si>
    <t>Xây dựng frontend</t>
  </si>
  <si>
    <t>Tích hợp hệ thống</t>
  </si>
  <si>
    <t>4.5.1</t>
  </si>
  <si>
    <t>Tích hợp Payment Gateway</t>
  </si>
  <si>
    <t>4.6.1</t>
  </si>
  <si>
    <t>Viết tài liệu cho người dùng</t>
  </si>
  <si>
    <t>4.6.2</t>
  </si>
  <si>
    <t>Xây dựng kế hoạch kiểm thử hệ thống</t>
  </si>
  <si>
    <t>4.6.3</t>
  </si>
  <si>
    <t>Viết biên bản kiểm thử từng phần</t>
  </si>
  <si>
    <t>Kiểm thử hệ thống</t>
  </si>
  <si>
    <t>Tích hợp và kiểm thử các chức năng của hệ thống</t>
  </si>
  <si>
    <t>Tích hợp và kiểm thử toàn bộ hệ thống</t>
  </si>
  <si>
    <t>Lập biên bản kết quả nghiệm thu</t>
  </si>
  <si>
    <t>Kiểm thử chấp nhận</t>
  </si>
  <si>
    <t>Thực hiện Demo các chức năng của hệ thống</t>
  </si>
  <si>
    <t>6.1.1</t>
  </si>
  <si>
    <t>Demo các chức năng cho người dùng</t>
  </si>
  <si>
    <t>6.1.2</t>
  </si>
  <si>
    <t>Demo các chức năng cho ban tổ chức</t>
  </si>
  <si>
    <t>Lập biên bản xác nhận của khách hàng</t>
  </si>
  <si>
    <t>Triển khai, vận hành</t>
  </si>
  <si>
    <t>Bàn giao hệ thống cho khách hàng</t>
  </si>
  <si>
    <t>7.1.1</t>
  </si>
  <si>
    <t>Cài đặt hệ thống</t>
  </si>
  <si>
    <t>7.1.2</t>
  </si>
  <si>
    <t>Đào tạo người sử dụng</t>
  </si>
  <si>
    <t>7.1.3</t>
  </si>
  <si>
    <t>Lập biên bản bàn giao</t>
  </si>
  <si>
    <t>7.2.1</t>
  </si>
  <si>
    <t>Viết báo cáo kết quả vận hành</t>
  </si>
  <si>
    <t>7.2.2</t>
  </si>
  <si>
    <t>Ghi nhận các lesson learned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</si>
</sst>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/&quot;mm&quot;/&quot;yyyy"/>
    <numFmt numFmtId="165" formatCode="mmmm yyyy"/>
    <numFmt numFmtId="166" formatCode="d"/>
    <numFmt numFmtId="167" formatCode="dd&quot;/&quot;mm"/>
  </numFmts>
  <fonts count="20">
    <font>
      <sz val="10.0"/>
      <color rgb="FF000000"/>
      <name val="Arial"/>
      <scheme val="minor"/>
    </font>
    <font>
      <color theme="1"/>
      <name val="Nunito"/>
    </font>
    <font>
      <b/>
      <color theme="1"/>
      <name val="Nunito"/>
    </font>
    <font>
      <b/>
      <sz val="11.0"/>
      <color rgb="FF434343"/>
      <name val="Nunito"/>
    </font>
    <font/>
    <font>
      <b/>
      <sz val="9.0"/>
      <color rgb="FF434343"/>
      <name val="Nunito"/>
    </font>
    <font>
      <b/>
      <color rgb="FF434343"/>
      <name val="Nunito"/>
    </font>
    <font>
      <b/>
      <sz val="9.0"/>
      <color rgb="FF999999"/>
      <name val="Nunito"/>
    </font>
    <font>
      <sz val="9.0"/>
      <color theme="1"/>
      <name val="Nunito"/>
    </font>
    <font>
      <b/>
      <sz val="11.0"/>
      <color rgb="FF000000"/>
      <name val="Roboto"/>
    </font>
    <font>
      <sz val="10.0"/>
      <color theme="1"/>
      <name val="Nunito"/>
    </font>
    <font>
      <b/>
      <sz val="9.0"/>
      <color theme="1"/>
      <name val="Nunito"/>
    </font>
    <font>
      <b/>
      <color rgb="FF434343"/>
      <name val="Roboto"/>
    </font>
    <font>
      <sz val="10.0"/>
      <color rgb="FF0062FF"/>
      <name val="Nunito"/>
    </font>
    <font>
      <color rgb="FF434343"/>
      <name val="Roboto"/>
    </font>
    <font>
      <sz val="9.0"/>
      <color rgb="FF000000"/>
      <name val="Roboto Serif"/>
    </font>
    <font>
      <sz val="10.0"/>
      <color rgb="FF14D696"/>
      <name val="Nunito"/>
    </font>
    <font>
      <b/>
      <sz val="10.0"/>
      <color rgb="FF434343"/>
      <name val="Roboto"/>
    </font>
    <font>
      <sz val="10.0"/>
      <color rgb="FF434343"/>
      <name val="Roboto"/>
    </font>
    <font>
      <b/>
      <sz val="11.0"/>
      <color theme="1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666666"/>
        <bgColor rgb="FF666666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readingOrder="0" vertical="center"/>
    </xf>
    <xf borderId="1" fillId="0" fontId="1" numFmtId="164" xfId="0" applyAlignment="1" applyBorder="1" applyFont="1" applyNumberFormat="1">
      <alignment horizontal="left" readingOrder="0" vertical="center"/>
    </xf>
    <xf borderId="1" fillId="0" fontId="1" numFmtId="0" xfId="0" applyAlignment="1" applyBorder="1" applyFont="1">
      <alignment vertical="center"/>
    </xf>
    <xf borderId="2" fillId="0" fontId="3" numFmtId="165" xfId="0" applyAlignment="1" applyBorder="1" applyFont="1" applyNumberFormat="1">
      <alignment horizontal="left" readingOrder="0" vertical="center"/>
    </xf>
    <xf borderId="3" fillId="0" fontId="4" numFmtId="0" xfId="0" applyBorder="1" applyFont="1"/>
    <xf borderId="4" fillId="0" fontId="4" numFmtId="0" xfId="0" applyBorder="1" applyFont="1"/>
    <xf borderId="1" fillId="0" fontId="5" numFmtId="166" xfId="0" applyAlignment="1" applyBorder="1" applyFont="1" applyNumberFormat="1">
      <alignment horizontal="center" readingOrder="0" vertical="center"/>
    </xf>
    <xf borderId="1" fillId="2" fontId="5" numFmtId="166" xfId="0" applyAlignment="1" applyBorder="1" applyFill="1" applyFont="1" applyNumberFormat="1">
      <alignment horizontal="center" readingOrder="0" vertical="center"/>
    </xf>
    <xf borderId="5" fillId="0" fontId="5" numFmtId="166" xfId="0" applyAlignment="1" applyBorder="1" applyFont="1" applyNumberFormat="1">
      <alignment horizontal="center" readingOrder="0" vertical="center"/>
    </xf>
    <xf borderId="6" fillId="0" fontId="5" numFmtId="166" xfId="0" applyAlignment="1" applyBorder="1" applyFont="1" applyNumberFormat="1">
      <alignment horizontal="center" readingOrder="0" vertical="center"/>
    </xf>
    <xf borderId="0" fillId="0" fontId="5" numFmtId="166" xfId="0" applyAlignment="1" applyFont="1" applyNumberFormat="1">
      <alignment horizontal="center" readingOrder="0" vertical="center"/>
    </xf>
    <xf borderId="5" fillId="0" fontId="1" numFmtId="0" xfId="0" applyAlignment="1" applyBorder="1" applyFont="1">
      <alignment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/>
    </xf>
    <xf borderId="1" fillId="2" fontId="7" numFmtId="0" xfId="0" applyAlignment="1" applyBorder="1" applyFont="1">
      <alignment horizontal="center"/>
    </xf>
    <xf borderId="7" fillId="0" fontId="7" numFmtId="0" xfId="0" applyAlignment="1" applyBorder="1" applyFont="1">
      <alignment horizontal="center"/>
    </xf>
    <xf borderId="8" fillId="0" fontId="7" numFmtId="0" xfId="0" applyAlignment="1" applyBorder="1" applyFont="1">
      <alignment horizontal="center"/>
    </xf>
    <xf borderId="0" fillId="0" fontId="8" numFmtId="0" xfId="0" applyAlignment="1" applyFont="1">
      <alignment vertical="center"/>
    </xf>
    <xf borderId="1" fillId="3" fontId="9" numFmtId="0" xfId="0" applyAlignment="1" applyBorder="1" applyFill="1" applyFont="1">
      <alignment horizontal="center" shrinkToFit="0" wrapText="1"/>
    </xf>
    <xf borderId="1" fillId="3" fontId="9" numFmtId="0" xfId="0" applyBorder="1" applyFont="1"/>
    <xf borderId="1" fillId="4" fontId="10" numFmtId="10" xfId="0" applyAlignment="1" applyBorder="1" applyFill="1" applyFont="1" applyNumberFormat="1">
      <alignment horizontal="center" readingOrder="0" vertical="center"/>
    </xf>
    <xf borderId="1" fillId="4" fontId="11" numFmtId="167" xfId="0" applyAlignment="1" applyBorder="1" applyFont="1" applyNumberFormat="1">
      <alignment horizontal="center" readingOrder="0" vertical="center"/>
    </xf>
    <xf borderId="1" fillId="4" fontId="11" numFmtId="0" xfId="0" applyAlignment="1" applyBorder="1" applyFont="1">
      <alignment vertical="center"/>
    </xf>
    <xf borderId="1" fillId="2" fontId="8" numFmtId="0" xfId="0" applyAlignment="1" applyBorder="1" applyFont="1">
      <alignment vertical="center"/>
    </xf>
    <xf borderId="1" fillId="0" fontId="12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shrinkToFit="0" wrapText="1"/>
    </xf>
    <xf borderId="1" fillId="0" fontId="13" numFmtId="0" xfId="0" applyAlignment="1" applyBorder="1" applyFont="1">
      <alignment horizontal="center" readingOrder="0" vertical="center"/>
    </xf>
    <xf borderId="1" fillId="0" fontId="1" numFmtId="167" xfId="0" applyAlignment="1" applyBorder="1" applyFont="1" applyNumberFormat="1">
      <alignment horizontal="center" readingOrder="0" vertical="center"/>
    </xf>
    <xf borderId="1" fillId="2" fontId="1" numFmtId="0" xfId="0" applyAlignment="1" applyBorder="1" applyFont="1">
      <alignment vertical="center"/>
    </xf>
    <xf borderId="1" fillId="0" fontId="14" numFmtId="0" xfId="0" applyAlignment="1" applyBorder="1" applyFont="1">
      <alignment horizontal="center" shrinkToFit="0" wrapText="1"/>
    </xf>
    <xf borderId="1" fillId="0" fontId="14" numFmtId="0" xfId="0" applyAlignment="1" applyBorder="1" applyFont="1">
      <alignment shrinkToFit="0" wrapText="1"/>
    </xf>
    <xf borderId="1" fillId="0" fontId="14" numFmtId="0" xfId="0" applyAlignment="1" applyBorder="1" applyFont="1">
      <alignment horizontal="center" shrinkToFit="0" wrapText="1"/>
    </xf>
    <xf borderId="1" fillId="0" fontId="14" numFmtId="0" xfId="0" applyAlignment="1" applyBorder="1" applyFont="1">
      <alignment shrinkToFit="0" wrapText="1"/>
    </xf>
    <xf borderId="7" fillId="0" fontId="1" numFmtId="0" xfId="0" applyAlignment="1" applyBorder="1" applyFont="1">
      <alignment vertical="center"/>
    </xf>
    <xf borderId="1" fillId="0" fontId="14" numFmtId="0" xfId="0" applyAlignment="1" applyBorder="1" applyFont="1">
      <alignment readingOrder="0" shrinkToFit="0" wrapText="1"/>
    </xf>
    <xf borderId="1" fillId="0" fontId="12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shrinkToFit="0" wrapText="1"/>
    </xf>
    <xf borderId="1" fillId="0" fontId="14" numFmtId="0" xfId="0" applyAlignment="1" applyBorder="1" applyFont="1">
      <alignment horizontal="center" readingOrder="0" shrinkToFit="0" wrapText="1"/>
    </xf>
    <xf borderId="1" fillId="0" fontId="15" numFmtId="0" xfId="0" applyAlignment="1" applyBorder="1" applyFont="1">
      <alignment readingOrder="0"/>
    </xf>
    <xf borderId="1" fillId="0" fontId="12" numFmtId="0" xfId="0" applyAlignment="1" applyBorder="1" applyFont="1">
      <alignment horizontal="center" readingOrder="0" shrinkToFit="0" wrapText="1"/>
    </xf>
    <xf borderId="1" fillId="0" fontId="12" numFmtId="0" xfId="0" applyAlignment="1" applyBorder="1" applyFont="1">
      <alignment readingOrder="0" shrinkToFit="0" wrapText="1"/>
    </xf>
    <xf borderId="1" fillId="3" fontId="9" numFmtId="0" xfId="0" applyAlignment="1" applyBorder="1" applyFont="1">
      <alignment horizontal="center" readingOrder="0" shrinkToFit="0" wrapText="1"/>
    </xf>
    <xf borderId="1" fillId="3" fontId="9" numFmtId="0" xfId="0" applyAlignment="1" applyBorder="1" applyFont="1">
      <alignment readingOrder="0"/>
    </xf>
    <xf borderId="1" fillId="4" fontId="1" numFmtId="167" xfId="0" applyAlignment="1" applyBorder="1" applyFont="1" applyNumberFormat="1">
      <alignment horizontal="center" readingOrder="0" vertical="center"/>
    </xf>
    <xf borderId="1" fillId="4" fontId="1" numFmtId="0" xfId="0" applyAlignment="1" applyBorder="1" applyFont="1">
      <alignment vertical="center"/>
    </xf>
    <xf borderId="1" fillId="0" fontId="16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readingOrder="0" shrinkToFit="0" vertical="center" wrapText="1"/>
    </xf>
    <xf borderId="1" fillId="0" fontId="18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readingOrder="0" shrinkToFit="0" vertical="center" wrapText="1"/>
    </xf>
    <xf borderId="1" fillId="3" fontId="9" numFmtId="0" xfId="0" applyAlignment="1" applyBorder="1" applyFont="1">
      <alignment horizontal="center" shrinkToFit="0" wrapText="1"/>
    </xf>
    <xf borderId="1" fillId="3" fontId="9" numFmtId="0" xfId="0" applyBorder="1" applyFont="1"/>
    <xf borderId="1" fillId="0" fontId="14" numFmtId="0" xfId="0" applyAlignment="1" applyBorder="1" applyFont="1">
      <alignment readingOrder="0" shrinkToFit="0" wrapText="1"/>
    </xf>
    <xf borderId="1" fillId="3" fontId="19" numFmtId="0" xfId="0" applyAlignment="1" applyBorder="1" applyFont="1">
      <alignment horizontal="center" readingOrder="0" shrinkToFit="0" vertical="bottom" wrapText="1"/>
    </xf>
    <xf borderId="1" fillId="3" fontId="19" numFmtId="0" xfId="0" applyAlignment="1" applyBorder="1" applyFont="1">
      <alignment readingOrder="0" vertical="bottom"/>
    </xf>
    <xf borderId="0" fillId="5" fontId="1" numFmtId="0" xfId="0" applyAlignment="1" applyFill="1" applyFont="1">
      <alignment vertical="center"/>
    </xf>
    <xf borderId="1" fillId="5" fontId="1" numFmtId="0" xfId="0" applyAlignment="1" applyBorder="1" applyFont="1">
      <alignment vertical="center"/>
    </xf>
  </cellXfs>
  <cellStyles count="1">
    <cellStyle xfId="0" name="Normal" builtinId="0"/>
  </cellStyles>
  <dxfs count="12"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5C5C5C"/>
          <bgColor rgb="FF5C5C5C"/>
        </patternFill>
      </fill>
      <border/>
    </dxf>
    <dxf>
      <font>
        <b/>
        <color theme="7"/>
      </font>
      <fill>
        <patternFill patternType="none"/>
      </fill>
      <border/>
    </dxf>
    <dxf>
      <font>
        <b/>
        <color theme="5"/>
      </font>
      <fill>
        <patternFill patternType="none"/>
      </fill>
      <border/>
    </dxf>
    <dxf>
      <font>
        <b/>
        <color theme="4"/>
      </font>
      <fill>
        <patternFill patternType="none"/>
      </fill>
      <border/>
    </dxf>
    <dxf>
      <font>
        <b/>
        <color rgb="FF5C5C5C"/>
      </font>
      <fill>
        <patternFill patternType="none"/>
      </fill>
      <border/>
    </dxf>
    <dxf>
      <font>
        <b/>
        <color rgb="FFF1C232"/>
      </font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rgb="FFFFFFFF"/>
      </font>
      <fill>
        <patternFill patternType="solid">
          <fgColor rgb="FF434343"/>
          <bgColor rgb="FF43434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0</xdr:row>
      <xdr:rowOff>161925</xdr:rowOff>
    </xdr:from>
    <xdr:ext cx="2476500" cy="390525"/>
    <xdr:sp>
      <xdr:nvSpPr>
        <xdr:cNvPr id="3" name="Shape 3"/>
        <xdr:cNvSpPr/>
      </xdr:nvSpPr>
      <xdr:spPr>
        <a:xfrm>
          <a:off x="1619125" y="1279900"/>
          <a:ext cx="2454000" cy="370800"/>
        </a:xfrm>
        <a:prstGeom prst="roundRect">
          <a:avLst>
            <a:gd fmla="val 50000" name="adj"/>
          </a:avLst>
        </a:prstGeom>
        <a:solidFill>
          <a:srgbClr val="0062F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FFFFFF"/>
              </a:solidFill>
              <a:latin typeface="Open Sans"/>
              <a:ea typeface="Open Sans"/>
              <a:cs typeface="Open Sans"/>
              <a:sym typeface="Open Sans"/>
            </a:rPr>
            <a:t>CHEVE Team</a:t>
          </a:r>
          <a:endParaRPr b="1" sz="1600">
            <a:solidFill>
              <a:srgbClr val="FFFFFF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62FF"/>
      </a:accent1>
      <a:accent2>
        <a:srgbClr val="FF658A"/>
      </a:accent2>
      <a:accent3>
        <a:srgbClr val="FFD966"/>
      </a:accent3>
      <a:accent4>
        <a:srgbClr val="14D696"/>
      </a:accent4>
      <a:accent5>
        <a:srgbClr val="FF9900"/>
      </a:accent5>
      <a:accent6>
        <a:srgbClr val="66CCFF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 outlineLevelRow="2"/>
  <cols>
    <col customWidth="1" min="1" max="1" width="3.75"/>
    <col customWidth="1" min="2" max="2" width="6.75"/>
    <col customWidth="1" min="3" max="3" width="21.75"/>
    <col customWidth="1" min="4" max="4" width="12.5"/>
    <col customWidth="1" min="5" max="8" width="9.5"/>
    <col customWidth="1" min="9" max="60" width="3.25"/>
    <col customWidth="1" min="61" max="65" width="2.75"/>
    <col customWidth="1" min="66" max="136" width="1.88"/>
  </cols>
  <sheetData>
    <row r="1" ht="21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</row>
    <row r="4">
      <c r="A4" s="1"/>
      <c r="B4" s="2"/>
      <c r="C4" s="2" t="s">
        <v>0</v>
      </c>
      <c r="D4" s="3">
        <v>46086.0</v>
      </c>
      <c r="E4" s="4"/>
      <c r="F4" s="2"/>
      <c r="G4" s="4"/>
      <c r="H4" s="4"/>
      <c r="I4" s="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7"/>
      <c r="AM4" s="5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7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</row>
    <row r="5">
      <c r="A5" s="1"/>
      <c r="B5" s="4"/>
      <c r="C5" s="4"/>
      <c r="D5" s="4"/>
      <c r="E5" s="4"/>
      <c r="F5" s="4"/>
      <c r="G5" s="4"/>
      <c r="H5" s="4"/>
      <c r="I5" s="8">
        <f>D4</f>
        <v>46086</v>
      </c>
      <c r="J5" s="8">
        <f t="shared" ref="J5:BZ5" si="1">I5+1</f>
        <v>46087</v>
      </c>
      <c r="K5" s="8">
        <f t="shared" si="1"/>
        <v>46088</v>
      </c>
      <c r="L5" s="8">
        <f t="shared" si="1"/>
        <v>46089</v>
      </c>
      <c r="M5" s="8">
        <f t="shared" si="1"/>
        <v>46090</v>
      </c>
      <c r="N5" s="8">
        <f t="shared" si="1"/>
        <v>46091</v>
      </c>
      <c r="O5" s="8">
        <f t="shared" si="1"/>
        <v>46092</v>
      </c>
      <c r="P5" s="8">
        <f t="shared" si="1"/>
        <v>46093</v>
      </c>
      <c r="Q5" s="8">
        <f t="shared" si="1"/>
        <v>46094</v>
      </c>
      <c r="R5" s="8">
        <f t="shared" si="1"/>
        <v>46095</v>
      </c>
      <c r="S5" s="8">
        <f t="shared" si="1"/>
        <v>46096</v>
      </c>
      <c r="T5" s="8">
        <f t="shared" si="1"/>
        <v>46097</v>
      </c>
      <c r="U5" s="8">
        <f t="shared" si="1"/>
        <v>46098</v>
      </c>
      <c r="V5" s="8">
        <f t="shared" si="1"/>
        <v>46099</v>
      </c>
      <c r="W5" s="8">
        <f t="shared" si="1"/>
        <v>46100</v>
      </c>
      <c r="X5" s="8">
        <f t="shared" si="1"/>
        <v>46101</v>
      </c>
      <c r="Y5" s="8">
        <f t="shared" si="1"/>
        <v>46102</v>
      </c>
      <c r="Z5" s="8">
        <f t="shared" si="1"/>
        <v>46103</v>
      </c>
      <c r="AA5" s="8">
        <f t="shared" si="1"/>
        <v>46104</v>
      </c>
      <c r="AB5" s="8">
        <f t="shared" si="1"/>
        <v>46105</v>
      </c>
      <c r="AC5" s="8">
        <f t="shared" si="1"/>
        <v>46106</v>
      </c>
      <c r="AD5" s="8">
        <f t="shared" si="1"/>
        <v>46107</v>
      </c>
      <c r="AE5" s="8">
        <f t="shared" si="1"/>
        <v>46108</v>
      </c>
      <c r="AF5" s="8">
        <f t="shared" si="1"/>
        <v>46109</v>
      </c>
      <c r="AG5" s="8">
        <f t="shared" si="1"/>
        <v>46110</v>
      </c>
      <c r="AH5" s="8">
        <f t="shared" si="1"/>
        <v>46111</v>
      </c>
      <c r="AI5" s="8">
        <f t="shared" si="1"/>
        <v>46112</v>
      </c>
      <c r="AJ5" s="8">
        <f t="shared" si="1"/>
        <v>46113</v>
      </c>
      <c r="AK5" s="8">
        <f t="shared" si="1"/>
        <v>46114</v>
      </c>
      <c r="AL5" s="8">
        <f t="shared" si="1"/>
        <v>46115</v>
      </c>
      <c r="AM5" s="8">
        <f t="shared" si="1"/>
        <v>46116</v>
      </c>
      <c r="AN5" s="8">
        <f t="shared" si="1"/>
        <v>46117</v>
      </c>
      <c r="AO5" s="8">
        <f t="shared" si="1"/>
        <v>46118</v>
      </c>
      <c r="AP5" s="8">
        <f t="shared" si="1"/>
        <v>46119</v>
      </c>
      <c r="AQ5" s="8">
        <f t="shared" si="1"/>
        <v>46120</v>
      </c>
      <c r="AR5" s="8">
        <f t="shared" si="1"/>
        <v>46121</v>
      </c>
      <c r="AS5" s="8">
        <f t="shared" si="1"/>
        <v>46122</v>
      </c>
      <c r="AT5" s="8">
        <f t="shared" si="1"/>
        <v>46123</v>
      </c>
      <c r="AU5" s="8">
        <f t="shared" si="1"/>
        <v>46124</v>
      </c>
      <c r="AV5" s="8">
        <f t="shared" si="1"/>
        <v>46125</v>
      </c>
      <c r="AW5" s="8">
        <f t="shared" si="1"/>
        <v>46126</v>
      </c>
      <c r="AX5" s="8">
        <f t="shared" si="1"/>
        <v>46127</v>
      </c>
      <c r="AY5" s="8">
        <f t="shared" si="1"/>
        <v>46128</v>
      </c>
      <c r="AZ5" s="8">
        <f t="shared" si="1"/>
        <v>46129</v>
      </c>
      <c r="BA5" s="8">
        <f t="shared" si="1"/>
        <v>46130</v>
      </c>
      <c r="BB5" s="8">
        <f t="shared" si="1"/>
        <v>46131</v>
      </c>
      <c r="BC5" s="8">
        <f t="shared" si="1"/>
        <v>46132</v>
      </c>
      <c r="BD5" s="8">
        <f t="shared" si="1"/>
        <v>46133</v>
      </c>
      <c r="BE5" s="8">
        <f t="shared" si="1"/>
        <v>46134</v>
      </c>
      <c r="BF5" s="8">
        <f t="shared" si="1"/>
        <v>46135</v>
      </c>
      <c r="BG5" s="8">
        <f t="shared" si="1"/>
        <v>46136</v>
      </c>
      <c r="BH5" s="8">
        <f t="shared" si="1"/>
        <v>46137</v>
      </c>
      <c r="BI5" s="8">
        <f t="shared" si="1"/>
        <v>46138</v>
      </c>
      <c r="BJ5" s="8">
        <f t="shared" si="1"/>
        <v>46139</v>
      </c>
      <c r="BK5" s="8">
        <f t="shared" si="1"/>
        <v>46140</v>
      </c>
      <c r="BL5" s="8">
        <f t="shared" si="1"/>
        <v>46141</v>
      </c>
      <c r="BM5" s="8">
        <f t="shared" si="1"/>
        <v>46142</v>
      </c>
      <c r="BN5" s="8">
        <f t="shared" si="1"/>
        <v>46143</v>
      </c>
      <c r="BO5" s="8">
        <f t="shared" si="1"/>
        <v>46144</v>
      </c>
      <c r="BP5" s="8">
        <f t="shared" si="1"/>
        <v>46145</v>
      </c>
      <c r="BQ5" s="8">
        <f t="shared" si="1"/>
        <v>46146</v>
      </c>
      <c r="BR5" s="8">
        <f t="shared" si="1"/>
        <v>46147</v>
      </c>
      <c r="BS5" s="8">
        <f t="shared" si="1"/>
        <v>46148</v>
      </c>
      <c r="BT5" s="8">
        <f t="shared" si="1"/>
        <v>46149</v>
      </c>
      <c r="BU5" s="8">
        <f t="shared" si="1"/>
        <v>46150</v>
      </c>
      <c r="BV5" s="8">
        <f t="shared" si="1"/>
        <v>46151</v>
      </c>
      <c r="BW5" s="8">
        <f t="shared" si="1"/>
        <v>46152</v>
      </c>
      <c r="BX5" s="8">
        <f t="shared" si="1"/>
        <v>46153</v>
      </c>
      <c r="BY5" s="8">
        <f t="shared" si="1"/>
        <v>46154</v>
      </c>
      <c r="BZ5" s="8">
        <f t="shared" si="1"/>
        <v>46155</v>
      </c>
      <c r="CA5" s="9"/>
      <c r="CB5" s="10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</row>
    <row r="6">
      <c r="A6" s="13"/>
      <c r="B6" s="14" t="s">
        <v>1</v>
      </c>
      <c r="C6" s="14" t="s">
        <v>2</v>
      </c>
      <c r="D6" s="15" t="s">
        <v>3</v>
      </c>
      <c r="E6" s="15" t="s">
        <v>4</v>
      </c>
      <c r="F6" s="15" t="s">
        <v>5</v>
      </c>
      <c r="G6" s="15" t="s">
        <v>6</v>
      </c>
      <c r="H6" s="15" t="s">
        <v>7</v>
      </c>
      <c r="I6" s="16" t="str">
        <f t="shared" ref="I6:BZ6" si="2">LEFT(TEXT(I5,"ddd"),1)</f>
        <v>T</v>
      </c>
      <c r="J6" s="16" t="str">
        <f t="shared" si="2"/>
        <v>F</v>
      </c>
      <c r="K6" s="16" t="str">
        <f t="shared" si="2"/>
        <v>S</v>
      </c>
      <c r="L6" s="16" t="str">
        <f t="shared" si="2"/>
        <v>S</v>
      </c>
      <c r="M6" s="16" t="str">
        <f t="shared" si="2"/>
        <v>M</v>
      </c>
      <c r="N6" s="16" t="str">
        <f t="shared" si="2"/>
        <v>T</v>
      </c>
      <c r="O6" s="16" t="str">
        <f t="shared" si="2"/>
        <v>W</v>
      </c>
      <c r="P6" s="16" t="str">
        <f t="shared" si="2"/>
        <v>T</v>
      </c>
      <c r="Q6" s="16" t="str">
        <f t="shared" si="2"/>
        <v>F</v>
      </c>
      <c r="R6" s="16" t="str">
        <f t="shared" si="2"/>
        <v>S</v>
      </c>
      <c r="S6" s="16" t="str">
        <f t="shared" si="2"/>
        <v>S</v>
      </c>
      <c r="T6" s="16" t="str">
        <f t="shared" si="2"/>
        <v>M</v>
      </c>
      <c r="U6" s="16" t="str">
        <f t="shared" si="2"/>
        <v>T</v>
      </c>
      <c r="V6" s="16" t="str">
        <f t="shared" si="2"/>
        <v>W</v>
      </c>
      <c r="W6" s="16" t="str">
        <f t="shared" si="2"/>
        <v>T</v>
      </c>
      <c r="X6" s="16" t="str">
        <f t="shared" si="2"/>
        <v>F</v>
      </c>
      <c r="Y6" s="16" t="str">
        <f t="shared" si="2"/>
        <v>S</v>
      </c>
      <c r="Z6" s="16" t="str">
        <f t="shared" si="2"/>
        <v>S</v>
      </c>
      <c r="AA6" s="16" t="str">
        <f t="shared" si="2"/>
        <v>M</v>
      </c>
      <c r="AB6" s="16" t="str">
        <f t="shared" si="2"/>
        <v>T</v>
      </c>
      <c r="AC6" s="16" t="str">
        <f t="shared" si="2"/>
        <v>W</v>
      </c>
      <c r="AD6" s="16" t="str">
        <f t="shared" si="2"/>
        <v>T</v>
      </c>
      <c r="AE6" s="16" t="str">
        <f t="shared" si="2"/>
        <v>F</v>
      </c>
      <c r="AF6" s="16" t="str">
        <f t="shared" si="2"/>
        <v>S</v>
      </c>
      <c r="AG6" s="16" t="str">
        <f t="shared" si="2"/>
        <v>S</v>
      </c>
      <c r="AH6" s="16" t="str">
        <f t="shared" si="2"/>
        <v>M</v>
      </c>
      <c r="AI6" s="16" t="str">
        <f t="shared" si="2"/>
        <v>T</v>
      </c>
      <c r="AJ6" s="16" t="str">
        <f t="shared" si="2"/>
        <v>W</v>
      </c>
      <c r="AK6" s="16" t="str">
        <f t="shared" si="2"/>
        <v>T</v>
      </c>
      <c r="AL6" s="16" t="str">
        <f t="shared" si="2"/>
        <v>F</v>
      </c>
      <c r="AM6" s="16" t="str">
        <f t="shared" si="2"/>
        <v>S</v>
      </c>
      <c r="AN6" s="16" t="str">
        <f t="shared" si="2"/>
        <v>S</v>
      </c>
      <c r="AO6" s="16" t="str">
        <f t="shared" si="2"/>
        <v>M</v>
      </c>
      <c r="AP6" s="16" t="str">
        <f t="shared" si="2"/>
        <v>T</v>
      </c>
      <c r="AQ6" s="16" t="str">
        <f t="shared" si="2"/>
        <v>W</v>
      </c>
      <c r="AR6" s="16" t="str">
        <f t="shared" si="2"/>
        <v>T</v>
      </c>
      <c r="AS6" s="16" t="str">
        <f t="shared" si="2"/>
        <v>F</v>
      </c>
      <c r="AT6" s="16" t="str">
        <f t="shared" si="2"/>
        <v>S</v>
      </c>
      <c r="AU6" s="16" t="str">
        <f t="shared" si="2"/>
        <v>S</v>
      </c>
      <c r="AV6" s="16" t="str">
        <f t="shared" si="2"/>
        <v>M</v>
      </c>
      <c r="AW6" s="16" t="str">
        <f t="shared" si="2"/>
        <v>T</v>
      </c>
      <c r="AX6" s="16" t="str">
        <f t="shared" si="2"/>
        <v>W</v>
      </c>
      <c r="AY6" s="16" t="str">
        <f t="shared" si="2"/>
        <v>T</v>
      </c>
      <c r="AZ6" s="16" t="str">
        <f t="shared" si="2"/>
        <v>F</v>
      </c>
      <c r="BA6" s="16" t="str">
        <f t="shared" si="2"/>
        <v>S</v>
      </c>
      <c r="BB6" s="16" t="str">
        <f t="shared" si="2"/>
        <v>S</v>
      </c>
      <c r="BC6" s="16" t="str">
        <f t="shared" si="2"/>
        <v>M</v>
      </c>
      <c r="BD6" s="16" t="str">
        <f t="shared" si="2"/>
        <v>T</v>
      </c>
      <c r="BE6" s="16" t="str">
        <f t="shared" si="2"/>
        <v>W</v>
      </c>
      <c r="BF6" s="16" t="str">
        <f t="shared" si="2"/>
        <v>T</v>
      </c>
      <c r="BG6" s="16" t="str">
        <f t="shared" si="2"/>
        <v>F</v>
      </c>
      <c r="BH6" s="16" t="str">
        <f t="shared" si="2"/>
        <v>S</v>
      </c>
      <c r="BI6" s="16" t="str">
        <f t="shared" si="2"/>
        <v>S</v>
      </c>
      <c r="BJ6" s="16" t="str">
        <f t="shared" si="2"/>
        <v>M</v>
      </c>
      <c r="BK6" s="16" t="str">
        <f t="shared" si="2"/>
        <v>T</v>
      </c>
      <c r="BL6" s="16" t="str">
        <f t="shared" si="2"/>
        <v>W</v>
      </c>
      <c r="BM6" s="16" t="str">
        <f t="shared" si="2"/>
        <v>T</v>
      </c>
      <c r="BN6" s="16" t="str">
        <f t="shared" si="2"/>
        <v>F</v>
      </c>
      <c r="BO6" s="16" t="str">
        <f t="shared" si="2"/>
        <v>S</v>
      </c>
      <c r="BP6" s="16" t="str">
        <f t="shared" si="2"/>
        <v>S</v>
      </c>
      <c r="BQ6" s="16" t="str">
        <f t="shared" si="2"/>
        <v>M</v>
      </c>
      <c r="BR6" s="16" t="str">
        <f t="shared" si="2"/>
        <v>T</v>
      </c>
      <c r="BS6" s="16" t="str">
        <f t="shared" si="2"/>
        <v>W</v>
      </c>
      <c r="BT6" s="16" t="str">
        <f t="shared" si="2"/>
        <v>T</v>
      </c>
      <c r="BU6" s="16" t="str">
        <f t="shared" si="2"/>
        <v>F</v>
      </c>
      <c r="BV6" s="16" t="str">
        <f t="shared" si="2"/>
        <v>S</v>
      </c>
      <c r="BW6" s="16" t="str">
        <f t="shared" si="2"/>
        <v>S</v>
      </c>
      <c r="BX6" s="16" t="str">
        <f t="shared" si="2"/>
        <v>M</v>
      </c>
      <c r="BY6" s="16" t="str">
        <f t="shared" si="2"/>
        <v>T</v>
      </c>
      <c r="BZ6" s="16" t="str">
        <f t="shared" si="2"/>
        <v>W</v>
      </c>
      <c r="CA6" s="17"/>
      <c r="CB6" s="18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</row>
    <row r="7">
      <c r="A7" s="20"/>
      <c r="B7" s="21">
        <v>1.0</v>
      </c>
      <c r="C7" s="22" t="s">
        <v>8</v>
      </c>
      <c r="D7" s="23">
        <f>countif(D8:D15,"Done")/counta(D8:D15)</f>
        <v>1</v>
      </c>
      <c r="E7" s="24"/>
      <c r="F7" s="24"/>
      <c r="G7" s="24"/>
      <c r="H7" s="24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6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</row>
    <row r="8" hidden="1" outlineLevel="2">
      <c r="A8" s="1"/>
      <c r="B8" s="27">
        <v>1.1</v>
      </c>
      <c r="C8" s="28" t="s">
        <v>9</v>
      </c>
      <c r="D8" s="29" t="s">
        <v>10</v>
      </c>
      <c r="E8" s="30"/>
      <c r="F8" s="30">
        <v>46086.0</v>
      </c>
      <c r="G8" s="30">
        <v>46087.0</v>
      </c>
      <c r="H8" s="4">
        <f t="shared" ref="H8:H15" si="3">G8-F8+1</f>
        <v>2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3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</row>
    <row r="9" hidden="1" outlineLevel="2">
      <c r="A9" s="1"/>
      <c r="B9" s="32" t="s">
        <v>11</v>
      </c>
      <c r="C9" s="33" t="s">
        <v>12</v>
      </c>
      <c r="D9" s="29" t="s">
        <v>10</v>
      </c>
      <c r="E9" s="30"/>
      <c r="F9" s="30">
        <v>46086.0</v>
      </c>
      <c r="G9" s="30">
        <v>46087.0</v>
      </c>
      <c r="H9" s="4">
        <f t="shared" si="3"/>
        <v>2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3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</row>
    <row r="10" hidden="1" outlineLevel="2">
      <c r="A10" s="1"/>
      <c r="B10" s="32" t="s">
        <v>13</v>
      </c>
      <c r="C10" s="33" t="s">
        <v>14</v>
      </c>
      <c r="D10" s="29" t="s">
        <v>10</v>
      </c>
      <c r="E10" s="30"/>
      <c r="F10" s="30">
        <v>46086.0</v>
      </c>
      <c r="G10" s="30">
        <v>46087.0</v>
      </c>
      <c r="H10" s="4">
        <f t="shared" si="3"/>
        <v>2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3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</row>
    <row r="11" outlineLevel="1">
      <c r="A11" s="20"/>
      <c r="B11" s="34" t="s">
        <v>15</v>
      </c>
      <c r="C11" s="35" t="s">
        <v>16</v>
      </c>
      <c r="D11" s="29" t="s">
        <v>10</v>
      </c>
      <c r="E11" s="30"/>
      <c r="F11" s="30">
        <v>46086.0</v>
      </c>
      <c r="G11" s="30">
        <v>46087.0</v>
      </c>
      <c r="H11" s="4">
        <f t="shared" si="3"/>
        <v>2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31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</row>
    <row r="12" outlineLevel="2">
      <c r="A12" s="1"/>
      <c r="B12" s="34" t="s">
        <v>17</v>
      </c>
      <c r="C12" s="37" t="s">
        <v>18</v>
      </c>
      <c r="D12" s="29" t="s">
        <v>10</v>
      </c>
      <c r="E12" s="30"/>
      <c r="F12" s="30">
        <v>46088.0</v>
      </c>
      <c r="G12" s="30">
        <v>46089.0</v>
      </c>
      <c r="H12" s="4">
        <f t="shared" si="3"/>
        <v>2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31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</row>
    <row r="13" outlineLevel="2">
      <c r="A13" s="1"/>
      <c r="B13" s="38">
        <v>1.2</v>
      </c>
      <c r="C13" s="39" t="s">
        <v>19</v>
      </c>
      <c r="D13" s="29" t="s">
        <v>10</v>
      </c>
      <c r="E13" s="30"/>
      <c r="F13" s="30">
        <v>46090.0</v>
      </c>
      <c r="G13" s="30">
        <v>46092.0</v>
      </c>
      <c r="H13" s="4">
        <f t="shared" si="3"/>
        <v>3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31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</row>
    <row r="14" outlineLevel="2">
      <c r="A14" s="1"/>
      <c r="B14" s="34" t="s">
        <v>20</v>
      </c>
      <c r="C14" s="35" t="s">
        <v>21</v>
      </c>
      <c r="D14" s="29" t="s">
        <v>10</v>
      </c>
      <c r="E14" s="30"/>
      <c r="F14" s="30">
        <v>46090.0</v>
      </c>
      <c r="G14" s="30">
        <v>46092.0</v>
      </c>
      <c r="H14" s="4">
        <f t="shared" si="3"/>
        <v>3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31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</row>
    <row r="15" outlineLevel="1">
      <c r="A15" s="20"/>
      <c r="B15" s="34" t="s">
        <v>22</v>
      </c>
      <c r="C15" s="35" t="s">
        <v>23</v>
      </c>
      <c r="D15" s="29" t="s">
        <v>10</v>
      </c>
      <c r="E15" s="30"/>
      <c r="F15" s="30">
        <v>46090.0</v>
      </c>
      <c r="G15" s="30">
        <v>46092.0</v>
      </c>
      <c r="H15" s="4">
        <f t="shared" si="3"/>
        <v>3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31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</row>
    <row r="16" outlineLevel="1">
      <c r="A16" s="20"/>
      <c r="B16" s="40" t="s">
        <v>24</v>
      </c>
      <c r="C16" s="41" t="s">
        <v>25</v>
      </c>
      <c r="D16" s="29" t="s">
        <v>10</v>
      </c>
      <c r="E16" s="30"/>
      <c r="F16" s="30">
        <v>46090.0</v>
      </c>
      <c r="G16" s="30">
        <v>46092.0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31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</row>
    <row r="17" outlineLevel="1">
      <c r="A17" s="20"/>
      <c r="B17" s="42">
        <v>1.3</v>
      </c>
      <c r="C17" s="43" t="s">
        <v>26</v>
      </c>
      <c r="D17" s="29" t="s">
        <v>10</v>
      </c>
      <c r="E17" s="30"/>
      <c r="F17" s="30">
        <v>46090.0</v>
      </c>
      <c r="G17" s="30">
        <v>46092.0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31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</row>
    <row r="18">
      <c r="A18" s="20"/>
      <c r="B18" s="44">
        <v>2.0</v>
      </c>
      <c r="C18" s="45" t="s">
        <v>27</v>
      </c>
      <c r="D18" s="23">
        <f>countif(D19:D34,"Done")/counta(D19:D34)</f>
        <v>1</v>
      </c>
      <c r="E18" s="46"/>
      <c r="F18" s="46"/>
      <c r="G18" s="46"/>
      <c r="H18" s="47">
        <f t="shared" ref="H18:H29" si="4">G18-F18+1</f>
        <v>1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31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</row>
    <row r="19" outlineLevel="1">
      <c r="A19" s="20"/>
      <c r="B19" s="38">
        <v>2.1</v>
      </c>
      <c r="C19" s="39" t="s">
        <v>28</v>
      </c>
      <c r="D19" s="48" t="s">
        <v>10</v>
      </c>
      <c r="E19" s="30"/>
      <c r="F19" s="30">
        <v>46093.0</v>
      </c>
      <c r="G19" s="30">
        <v>46095.0</v>
      </c>
      <c r="H19" s="4">
        <f t="shared" si="4"/>
        <v>3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31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</row>
    <row r="20" outlineLevel="1">
      <c r="A20" s="20"/>
      <c r="B20" s="34" t="s">
        <v>29</v>
      </c>
      <c r="C20" s="35" t="s">
        <v>30</v>
      </c>
      <c r="D20" s="48" t="s">
        <v>10</v>
      </c>
      <c r="E20" s="30"/>
      <c r="F20" s="30">
        <v>46093.0</v>
      </c>
      <c r="G20" s="30">
        <v>46095.0</v>
      </c>
      <c r="H20" s="4">
        <f t="shared" si="4"/>
        <v>3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31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</row>
    <row r="21" outlineLevel="1">
      <c r="A21" s="20"/>
      <c r="B21" s="34" t="s">
        <v>31</v>
      </c>
      <c r="C21" s="35" t="s">
        <v>32</v>
      </c>
      <c r="D21" s="48" t="s">
        <v>10</v>
      </c>
      <c r="E21" s="30"/>
      <c r="F21" s="30">
        <v>46093.0</v>
      </c>
      <c r="G21" s="30">
        <v>46095.0</v>
      </c>
      <c r="H21" s="4">
        <f t="shared" si="4"/>
        <v>3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31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</row>
    <row r="22" outlineLevel="1">
      <c r="A22" s="20"/>
      <c r="B22" s="49">
        <v>2.2</v>
      </c>
      <c r="C22" s="50" t="s">
        <v>33</v>
      </c>
      <c r="D22" s="48" t="s">
        <v>10</v>
      </c>
      <c r="E22" s="30"/>
      <c r="F22" s="30">
        <v>46096.0</v>
      </c>
      <c r="G22" s="30">
        <v>46099.0</v>
      </c>
      <c r="H22" s="4">
        <f t="shared" si="4"/>
        <v>4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31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</row>
    <row r="23" outlineLevel="1" collapsed="1">
      <c r="A23" s="20"/>
      <c r="B23" s="51" t="s">
        <v>34</v>
      </c>
      <c r="C23" s="52" t="s">
        <v>35</v>
      </c>
      <c r="D23" s="48" t="s">
        <v>10</v>
      </c>
      <c r="E23" s="30"/>
      <c r="F23" s="30">
        <v>46096.0</v>
      </c>
      <c r="G23" s="30">
        <v>46099.0</v>
      </c>
      <c r="H23" s="4">
        <f t="shared" si="4"/>
        <v>4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31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</row>
    <row r="24" hidden="1" outlineLevel="2">
      <c r="A24" s="1"/>
      <c r="B24" s="34" t="s">
        <v>34</v>
      </c>
      <c r="C24" s="35" t="s">
        <v>30</v>
      </c>
      <c r="D24" s="48" t="s">
        <v>10</v>
      </c>
      <c r="E24" s="30"/>
      <c r="F24" s="30"/>
      <c r="G24" s="30"/>
      <c r="H24" s="4">
        <f t="shared" si="4"/>
        <v>1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31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</row>
    <row r="25" hidden="1" outlineLevel="2">
      <c r="A25" s="1"/>
      <c r="B25" s="34" t="s">
        <v>34</v>
      </c>
      <c r="C25" s="35" t="s">
        <v>32</v>
      </c>
      <c r="D25" s="48" t="s">
        <v>10</v>
      </c>
      <c r="E25" s="30"/>
      <c r="F25" s="30"/>
      <c r="G25" s="30"/>
      <c r="H25" s="4">
        <f t="shared" si="4"/>
        <v>1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31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</row>
    <row r="26" hidden="1" outlineLevel="2">
      <c r="A26" s="1"/>
      <c r="B26" s="34">
        <v>2.3</v>
      </c>
      <c r="C26" s="35" t="s">
        <v>36</v>
      </c>
      <c r="D26" s="48" t="s">
        <v>10</v>
      </c>
      <c r="E26" s="30"/>
      <c r="F26" s="30"/>
      <c r="G26" s="30"/>
      <c r="H26" s="4">
        <f t="shared" si="4"/>
        <v>1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31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</row>
    <row r="27" hidden="1" outlineLevel="2">
      <c r="A27" s="1"/>
      <c r="B27" s="34">
        <v>2.4</v>
      </c>
      <c r="C27" s="35" t="s">
        <v>37</v>
      </c>
      <c r="D27" s="48" t="s">
        <v>10</v>
      </c>
      <c r="E27" s="30"/>
      <c r="F27" s="30"/>
      <c r="G27" s="30"/>
      <c r="H27" s="4">
        <f t="shared" si="4"/>
        <v>1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31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</row>
    <row r="28" hidden="1" outlineLevel="2">
      <c r="A28" s="1"/>
      <c r="B28" s="34">
        <v>2.3</v>
      </c>
      <c r="C28" s="35" t="s">
        <v>36</v>
      </c>
      <c r="D28" s="48" t="s">
        <v>10</v>
      </c>
      <c r="E28" s="30"/>
      <c r="F28" s="30"/>
      <c r="G28" s="30"/>
      <c r="H28" s="4">
        <f t="shared" si="4"/>
        <v>1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31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</row>
    <row r="29" outlineLevel="1">
      <c r="A29" s="1"/>
      <c r="B29" s="51" t="s">
        <v>38</v>
      </c>
      <c r="C29" s="52" t="s">
        <v>39</v>
      </c>
      <c r="D29" s="48" t="s">
        <v>10</v>
      </c>
      <c r="E29" s="30"/>
      <c r="F29" s="30">
        <v>46096.0</v>
      </c>
      <c r="G29" s="30">
        <v>46099.0</v>
      </c>
      <c r="H29" s="4">
        <f t="shared" si="4"/>
        <v>4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31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</row>
    <row r="30" outlineLevel="1">
      <c r="A30" s="1"/>
      <c r="B30" s="51" t="s">
        <v>40</v>
      </c>
      <c r="C30" s="52" t="s">
        <v>41</v>
      </c>
      <c r="D30" s="48" t="s">
        <v>10</v>
      </c>
      <c r="E30" s="30"/>
      <c r="F30" s="30">
        <v>46096.0</v>
      </c>
      <c r="G30" s="30">
        <v>46099.0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31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</row>
    <row r="31" outlineLevel="1">
      <c r="A31" s="1"/>
      <c r="B31" s="49">
        <v>2.3</v>
      </c>
      <c r="C31" s="50" t="s">
        <v>19</v>
      </c>
      <c r="D31" s="48" t="s">
        <v>10</v>
      </c>
      <c r="E31" s="30"/>
      <c r="F31" s="30">
        <v>46100.0</v>
      </c>
      <c r="G31" s="30">
        <v>46102.0</v>
      </c>
      <c r="H31" s="4">
        <f>G31-F31+1</f>
        <v>3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31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</row>
    <row r="32" outlineLevel="1">
      <c r="A32" s="1"/>
      <c r="B32" s="51" t="s">
        <v>42</v>
      </c>
      <c r="C32" s="52" t="s">
        <v>43</v>
      </c>
      <c r="D32" s="48" t="s">
        <v>10</v>
      </c>
      <c r="E32" s="30"/>
      <c r="F32" s="30">
        <v>46101.0</v>
      </c>
      <c r="G32" s="30">
        <v>46102.0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31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</row>
    <row r="33" outlineLevel="1">
      <c r="A33" s="1"/>
      <c r="B33" s="51" t="s">
        <v>44</v>
      </c>
      <c r="C33" s="52" t="s">
        <v>45</v>
      </c>
      <c r="D33" s="48" t="s">
        <v>10</v>
      </c>
      <c r="E33" s="30"/>
      <c r="F33" s="30">
        <v>46101.0</v>
      </c>
      <c r="G33" s="30">
        <v>46102.0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31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</row>
    <row r="34" outlineLevel="1">
      <c r="A34" s="1"/>
      <c r="B34" s="49">
        <v>2.4</v>
      </c>
      <c r="C34" s="50" t="s">
        <v>37</v>
      </c>
      <c r="D34" s="48" t="s">
        <v>10</v>
      </c>
      <c r="E34" s="30"/>
      <c r="F34" s="30">
        <v>46101.0</v>
      </c>
      <c r="G34" s="30">
        <v>46102.0</v>
      </c>
      <c r="H34" s="4">
        <f>G34-F34+1</f>
        <v>2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31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</row>
    <row r="35">
      <c r="A35" s="1"/>
      <c r="B35" s="53">
        <v>3.0</v>
      </c>
      <c r="C35" s="54" t="s">
        <v>46</v>
      </c>
      <c r="D35" s="23">
        <f>countif(D36:D49,"Done")/counta(D36:D49)</f>
        <v>0</v>
      </c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31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</row>
    <row r="36" outlineLevel="1">
      <c r="A36" s="1"/>
      <c r="B36" s="27">
        <v>3.1</v>
      </c>
      <c r="C36" s="28" t="s">
        <v>47</v>
      </c>
      <c r="D36" s="48" t="s">
        <v>48</v>
      </c>
      <c r="E36" s="30"/>
      <c r="F36" s="30">
        <v>46109.0</v>
      </c>
      <c r="G36" s="30">
        <v>46114.0</v>
      </c>
      <c r="H36" s="4">
        <f t="shared" ref="H36:H52" si="5">G36-F36+1</f>
        <v>6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31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</row>
    <row r="37" outlineLevel="1">
      <c r="A37" s="1"/>
      <c r="B37" s="32" t="s">
        <v>49</v>
      </c>
      <c r="C37" s="33" t="s">
        <v>50</v>
      </c>
      <c r="D37" s="48" t="s">
        <v>48</v>
      </c>
      <c r="E37" s="30"/>
      <c r="F37" s="30">
        <v>46109.0</v>
      </c>
      <c r="G37" s="30">
        <v>46110.0</v>
      </c>
      <c r="H37" s="4">
        <f t="shared" si="5"/>
        <v>2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31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</row>
    <row r="38" outlineLevel="1">
      <c r="A38" s="1"/>
      <c r="B38" s="34" t="s">
        <v>51</v>
      </c>
      <c r="C38" s="55" t="s">
        <v>52</v>
      </c>
      <c r="D38" s="48" t="s">
        <v>48</v>
      </c>
      <c r="E38" s="30"/>
      <c r="F38" s="30">
        <v>46111.0</v>
      </c>
      <c r="G38" s="30">
        <v>46112.0</v>
      </c>
      <c r="H38" s="4">
        <f t="shared" si="5"/>
        <v>2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31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</row>
    <row r="39" outlineLevel="1">
      <c r="A39" s="1"/>
      <c r="B39" s="40" t="s">
        <v>53</v>
      </c>
      <c r="C39" s="55" t="s">
        <v>54</v>
      </c>
      <c r="D39" s="48" t="s">
        <v>48</v>
      </c>
      <c r="E39" s="30"/>
      <c r="F39" s="30">
        <v>46113.0</v>
      </c>
      <c r="G39" s="30">
        <v>46114.0</v>
      </c>
      <c r="H39" s="4">
        <f t="shared" si="5"/>
        <v>2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31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</row>
    <row r="40" outlineLevel="1">
      <c r="A40" s="1"/>
      <c r="B40" s="27">
        <v>3.2</v>
      </c>
      <c r="C40" s="28" t="s">
        <v>55</v>
      </c>
      <c r="D40" s="48" t="s">
        <v>48</v>
      </c>
      <c r="E40" s="30"/>
      <c r="F40" s="30">
        <v>46103.0</v>
      </c>
      <c r="G40" s="30">
        <v>46119.0</v>
      </c>
      <c r="H40" s="4">
        <f t="shared" si="5"/>
        <v>17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31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</row>
    <row r="41" outlineLevel="1">
      <c r="A41" s="1"/>
      <c r="B41" s="40" t="s">
        <v>56</v>
      </c>
      <c r="C41" s="33" t="s">
        <v>57</v>
      </c>
      <c r="D41" s="48" t="s">
        <v>48</v>
      </c>
      <c r="E41" s="30"/>
      <c r="F41" s="30">
        <v>46103.0</v>
      </c>
      <c r="G41" s="30">
        <v>46103.0</v>
      </c>
      <c r="H41" s="4">
        <f t="shared" si="5"/>
        <v>1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31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</row>
    <row r="42" outlineLevel="1">
      <c r="A42" s="1"/>
      <c r="B42" s="40" t="s">
        <v>58</v>
      </c>
      <c r="C42" s="33" t="s">
        <v>59</v>
      </c>
      <c r="D42" s="48" t="s">
        <v>48</v>
      </c>
      <c r="E42" s="30"/>
      <c r="F42" s="30">
        <v>46104.0</v>
      </c>
      <c r="G42" s="30">
        <v>46104.0</v>
      </c>
      <c r="H42" s="4">
        <f t="shared" si="5"/>
        <v>1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31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</row>
    <row r="43" outlineLevel="1">
      <c r="A43" s="1"/>
      <c r="B43" s="40" t="s">
        <v>60</v>
      </c>
      <c r="C43" s="33" t="s">
        <v>61</v>
      </c>
      <c r="D43" s="48" t="s">
        <v>48</v>
      </c>
      <c r="E43" s="30"/>
      <c r="F43" s="30">
        <v>46117.0</v>
      </c>
      <c r="G43" s="30">
        <v>46119.0</v>
      </c>
      <c r="H43" s="4">
        <f t="shared" si="5"/>
        <v>3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31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</row>
    <row r="44" outlineLevel="1">
      <c r="A44" s="1"/>
      <c r="B44" s="40" t="s">
        <v>62</v>
      </c>
      <c r="C44" s="33" t="s">
        <v>63</v>
      </c>
      <c r="D44" s="48" t="s">
        <v>48</v>
      </c>
      <c r="E44" s="30"/>
      <c r="F44" s="30">
        <v>46117.0</v>
      </c>
      <c r="G44" s="30">
        <v>46119.0</v>
      </c>
      <c r="H44" s="4">
        <f t="shared" si="5"/>
        <v>3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31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</row>
    <row r="45" outlineLevel="1">
      <c r="A45" s="1"/>
      <c r="B45" s="27">
        <v>3.3</v>
      </c>
      <c r="C45" s="28" t="s">
        <v>64</v>
      </c>
      <c r="D45" s="48" t="s">
        <v>48</v>
      </c>
      <c r="E45" s="30"/>
      <c r="F45" s="30">
        <v>46105.0</v>
      </c>
      <c r="G45" s="30">
        <v>46119.0</v>
      </c>
      <c r="H45" s="4">
        <f t="shared" si="5"/>
        <v>15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31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36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</row>
    <row r="46" outlineLevel="1">
      <c r="A46" s="1"/>
      <c r="B46" s="32" t="s">
        <v>65</v>
      </c>
      <c r="C46" s="33" t="s">
        <v>66</v>
      </c>
      <c r="D46" s="48" t="s">
        <v>48</v>
      </c>
      <c r="E46" s="30"/>
      <c r="F46" s="30">
        <v>46105.0</v>
      </c>
      <c r="G46" s="30">
        <v>46106.0</v>
      </c>
      <c r="H46" s="4">
        <f t="shared" si="5"/>
        <v>2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31"/>
      <c r="CB46" s="36"/>
      <c r="CC46" s="36"/>
      <c r="CD46" s="36"/>
      <c r="CE46" s="36"/>
      <c r="CF46" s="36"/>
      <c r="CG46" s="36"/>
      <c r="CH46" s="36"/>
      <c r="CI46" s="36"/>
      <c r="CJ46" s="36"/>
      <c r="CK46" s="36"/>
      <c r="CL46" s="36"/>
      <c r="CM46" s="36"/>
      <c r="CN46" s="36"/>
      <c r="CO46" s="36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</row>
    <row r="47" outlineLevel="1">
      <c r="A47" s="1"/>
      <c r="B47" s="32" t="s">
        <v>67</v>
      </c>
      <c r="C47" s="33" t="s">
        <v>68</v>
      </c>
      <c r="D47" s="48" t="s">
        <v>48</v>
      </c>
      <c r="E47" s="30"/>
      <c r="F47" s="30">
        <v>46113.0</v>
      </c>
      <c r="G47" s="30">
        <v>46114.0</v>
      </c>
      <c r="H47" s="4">
        <f t="shared" si="5"/>
        <v>2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31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</row>
    <row r="48" outlineLevel="1">
      <c r="A48" s="1"/>
      <c r="B48" s="32" t="s">
        <v>69</v>
      </c>
      <c r="C48" s="33" t="s">
        <v>70</v>
      </c>
      <c r="D48" s="48" t="s">
        <v>48</v>
      </c>
      <c r="E48" s="30"/>
      <c r="F48" s="30">
        <v>46115.0</v>
      </c>
      <c r="G48" s="30">
        <v>46117.0</v>
      </c>
      <c r="H48" s="4">
        <f t="shared" si="5"/>
        <v>3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31"/>
      <c r="CB48" s="36"/>
      <c r="CC48" s="36"/>
      <c r="CD48" s="36"/>
      <c r="CE48" s="36"/>
      <c r="CF48" s="36"/>
      <c r="CG48" s="36"/>
      <c r="CH48" s="36"/>
      <c r="CI48" s="36"/>
      <c r="CJ48" s="36"/>
      <c r="CK48" s="36"/>
      <c r="CL48" s="36"/>
      <c r="CM48" s="36"/>
      <c r="CN48" s="36"/>
      <c r="CO48" s="36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</row>
    <row r="49" outlineLevel="1">
      <c r="A49" s="1"/>
      <c r="B49" s="32" t="s">
        <v>71</v>
      </c>
      <c r="C49" s="33" t="s">
        <v>72</v>
      </c>
      <c r="D49" s="48" t="s">
        <v>48</v>
      </c>
      <c r="E49" s="30"/>
      <c r="F49" s="30">
        <v>46118.0</v>
      </c>
      <c r="G49" s="30">
        <v>46119.0</v>
      </c>
      <c r="H49" s="4">
        <f t="shared" si="5"/>
        <v>2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31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36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</row>
    <row r="50" outlineLevel="1">
      <c r="A50" s="1"/>
      <c r="B50" s="42">
        <v>3.4</v>
      </c>
      <c r="C50" s="43" t="s">
        <v>19</v>
      </c>
      <c r="D50" s="48" t="s">
        <v>48</v>
      </c>
      <c r="E50" s="30"/>
      <c r="F50" s="30">
        <v>46120.0</v>
      </c>
      <c r="G50" s="30">
        <v>46122.0</v>
      </c>
      <c r="H50" s="4">
        <f t="shared" si="5"/>
        <v>3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31"/>
      <c r="CB50" s="36"/>
      <c r="CC50" s="36"/>
      <c r="CD50" s="36"/>
      <c r="CE50" s="36"/>
      <c r="CF50" s="36"/>
      <c r="CG50" s="36"/>
      <c r="CH50" s="36"/>
      <c r="CI50" s="36"/>
      <c r="CJ50" s="36"/>
      <c r="CK50" s="36"/>
      <c r="CL50" s="36"/>
      <c r="CM50" s="36"/>
      <c r="CN50" s="36"/>
      <c r="CO50" s="36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</row>
    <row r="51" outlineLevel="1">
      <c r="A51" s="1"/>
      <c r="B51" s="40" t="s">
        <v>73</v>
      </c>
      <c r="C51" s="37" t="s">
        <v>74</v>
      </c>
      <c r="D51" s="48" t="s">
        <v>48</v>
      </c>
      <c r="E51" s="30"/>
      <c r="F51" s="30">
        <v>46120.0</v>
      </c>
      <c r="G51" s="30">
        <v>46122.0</v>
      </c>
      <c r="H51" s="4">
        <f t="shared" si="5"/>
        <v>3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31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36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</row>
    <row r="52" outlineLevel="1">
      <c r="A52" s="1"/>
      <c r="B52" s="40" t="s">
        <v>75</v>
      </c>
      <c r="C52" s="37" t="s">
        <v>76</v>
      </c>
      <c r="D52" s="48" t="s">
        <v>48</v>
      </c>
      <c r="E52" s="30"/>
      <c r="F52" s="30">
        <v>46120.0</v>
      </c>
      <c r="G52" s="30">
        <v>46122.0</v>
      </c>
      <c r="H52" s="4">
        <f t="shared" si="5"/>
        <v>3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31"/>
      <c r="CB52" s="36"/>
      <c r="CC52" s="36"/>
      <c r="CD52" s="36"/>
      <c r="CE52" s="36"/>
      <c r="CF52" s="36"/>
      <c r="CG52" s="36"/>
      <c r="CH52" s="36"/>
      <c r="CI52" s="36"/>
      <c r="CJ52" s="36"/>
      <c r="CK52" s="36"/>
      <c r="CL52" s="36"/>
      <c r="CM52" s="36"/>
      <c r="CN52" s="36"/>
      <c r="CO52" s="36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</row>
    <row r="53">
      <c r="A53" s="1"/>
      <c r="B53" s="53">
        <v>4.0</v>
      </c>
      <c r="C53" s="54" t="s">
        <v>77</v>
      </c>
      <c r="D53" s="23">
        <f>countif(D54:D71,"Done")/counta(D54:D71)</f>
        <v>0</v>
      </c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31"/>
      <c r="CB53" s="36"/>
      <c r="CC53" s="36"/>
      <c r="CD53" s="36"/>
      <c r="CE53" s="36"/>
      <c r="CF53" s="36"/>
      <c r="CG53" s="36"/>
      <c r="CH53" s="36"/>
      <c r="CI53" s="36"/>
      <c r="CJ53" s="36"/>
      <c r="CK53" s="36"/>
      <c r="CL53" s="36"/>
      <c r="CM53" s="36"/>
      <c r="CN53" s="36"/>
      <c r="CO53" s="36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</row>
    <row r="54" outlineLevel="1">
      <c r="A54" s="1"/>
      <c r="B54" s="27">
        <v>4.1</v>
      </c>
      <c r="C54" s="43" t="s">
        <v>78</v>
      </c>
      <c r="D54" s="48" t="s">
        <v>48</v>
      </c>
      <c r="E54" s="30"/>
      <c r="F54" s="30">
        <v>46120.0</v>
      </c>
      <c r="G54" s="30">
        <v>46125.0</v>
      </c>
      <c r="H54" s="4">
        <f t="shared" ref="H54:H74" si="6">G54-F54+1</f>
        <v>6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31"/>
      <c r="CB54" s="36"/>
      <c r="CC54" s="36"/>
      <c r="CD54" s="36"/>
      <c r="CE54" s="36"/>
      <c r="CF54" s="36"/>
      <c r="CG54" s="36"/>
      <c r="CH54" s="36"/>
      <c r="CI54" s="36"/>
      <c r="CJ54" s="36"/>
      <c r="CK54" s="36"/>
      <c r="CL54" s="36"/>
      <c r="CM54" s="36"/>
      <c r="CN54" s="36"/>
      <c r="CO54" s="36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</row>
    <row r="55" outlineLevel="1">
      <c r="A55" s="1"/>
      <c r="B55" s="32" t="s">
        <v>79</v>
      </c>
      <c r="C55" s="33" t="s">
        <v>80</v>
      </c>
      <c r="D55" s="48" t="s">
        <v>48</v>
      </c>
      <c r="E55" s="30"/>
      <c r="F55" s="30">
        <v>46120.0</v>
      </c>
      <c r="G55" s="30">
        <v>46122.0</v>
      </c>
      <c r="H55" s="4">
        <f t="shared" si="6"/>
        <v>3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31"/>
      <c r="CB55" s="36"/>
      <c r="CC55" s="36"/>
      <c r="CD55" s="36"/>
      <c r="CE55" s="36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</row>
    <row r="56" outlineLevel="1">
      <c r="A56" s="1"/>
      <c r="B56" s="32" t="s">
        <v>81</v>
      </c>
      <c r="C56" s="33" t="s">
        <v>82</v>
      </c>
      <c r="D56" s="48" t="s">
        <v>48</v>
      </c>
      <c r="E56" s="30"/>
      <c r="F56" s="30">
        <v>46120.0</v>
      </c>
      <c r="G56" s="30">
        <v>46121.0</v>
      </c>
      <c r="H56" s="4">
        <f t="shared" si="6"/>
        <v>2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31"/>
      <c r="CB56" s="36"/>
      <c r="CC56" s="36"/>
      <c r="CD56" s="36"/>
      <c r="CE56" s="36"/>
      <c r="CF56" s="36"/>
      <c r="CG56" s="36"/>
      <c r="CH56" s="36"/>
      <c r="CI56" s="36"/>
      <c r="CJ56" s="36"/>
      <c r="CK56" s="36"/>
      <c r="CL56" s="36"/>
      <c r="CM56" s="36"/>
      <c r="CN56" s="36"/>
      <c r="CO56" s="36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</row>
    <row r="57" outlineLevel="1">
      <c r="A57" s="1"/>
      <c r="B57" s="32" t="s">
        <v>83</v>
      </c>
      <c r="C57" s="33" t="s">
        <v>84</v>
      </c>
      <c r="D57" s="48" t="s">
        <v>48</v>
      </c>
      <c r="E57" s="30"/>
      <c r="F57" s="30">
        <v>46123.0</v>
      </c>
      <c r="G57" s="30">
        <v>46125.0</v>
      </c>
      <c r="H57" s="4">
        <f t="shared" si="6"/>
        <v>3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31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36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</row>
    <row r="58" outlineLevel="1">
      <c r="A58" s="1"/>
      <c r="B58" s="32" t="s">
        <v>85</v>
      </c>
      <c r="C58" s="33" t="s">
        <v>86</v>
      </c>
      <c r="D58" s="48" t="s">
        <v>48</v>
      </c>
      <c r="E58" s="30"/>
      <c r="F58" s="30">
        <v>46123.0</v>
      </c>
      <c r="G58" s="30">
        <v>46125.0</v>
      </c>
      <c r="H58" s="4">
        <f t="shared" si="6"/>
        <v>3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31"/>
      <c r="CB58" s="36"/>
      <c r="CC58" s="36"/>
      <c r="CD58" s="36"/>
      <c r="CE58" s="36"/>
      <c r="CF58" s="36"/>
      <c r="CG58" s="36"/>
      <c r="CH58" s="36"/>
      <c r="CI58" s="36"/>
      <c r="CJ58" s="36"/>
      <c r="CK58" s="36"/>
      <c r="CL58" s="36"/>
      <c r="CM58" s="36"/>
      <c r="CN58" s="36"/>
      <c r="CO58" s="36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</row>
    <row r="59" outlineLevel="1">
      <c r="A59" s="1"/>
      <c r="B59" s="27">
        <v>4.2</v>
      </c>
      <c r="C59" s="43" t="s">
        <v>87</v>
      </c>
      <c r="D59" s="48" t="s">
        <v>48</v>
      </c>
      <c r="E59" s="30"/>
      <c r="F59" s="30">
        <v>46126.0</v>
      </c>
      <c r="G59" s="30">
        <v>46131.0</v>
      </c>
      <c r="H59" s="4">
        <f t="shared" si="6"/>
        <v>6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31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36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</row>
    <row r="60" outlineLevel="1">
      <c r="A60" s="1"/>
      <c r="B60" s="32" t="s">
        <v>88</v>
      </c>
      <c r="C60" s="33" t="s">
        <v>89</v>
      </c>
      <c r="D60" s="48" t="s">
        <v>48</v>
      </c>
      <c r="E60" s="30"/>
      <c r="F60" s="30">
        <v>46126.0</v>
      </c>
      <c r="G60" s="30">
        <v>46128.0</v>
      </c>
      <c r="H60" s="4">
        <f t="shared" si="6"/>
        <v>3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31"/>
      <c r="CB60" s="36"/>
      <c r="CC60" s="36"/>
      <c r="CD60" s="36"/>
      <c r="CE60" s="36"/>
      <c r="CF60" s="36"/>
      <c r="CG60" s="36"/>
      <c r="CH60" s="36"/>
      <c r="CI60" s="36"/>
      <c r="CJ60" s="36"/>
      <c r="CK60" s="36"/>
      <c r="CL60" s="36"/>
      <c r="CM60" s="36"/>
      <c r="CN60" s="36"/>
      <c r="CO60" s="36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</row>
    <row r="61" outlineLevel="1">
      <c r="A61" s="1"/>
      <c r="B61" s="32" t="s">
        <v>90</v>
      </c>
      <c r="C61" s="33" t="s">
        <v>91</v>
      </c>
      <c r="D61" s="48" t="s">
        <v>48</v>
      </c>
      <c r="E61" s="30"/>
      <c r="F61" s="30">
        <v>46129.0</v>
      </c>
      <c r="G61" s="30">
        <v>46131.0</v>
      </c>
      <c r="H61" s="4">
        <f t="shared" si="6"/>
        <v>3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31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</row>
    <row r="62" outlineLevel="1">
      <c r="A62" s="1"/>
      <c r="B62" s="32" t="s">
        <v>92</v>
      </c>
      <c r="C62" s="33" t="s">
        <v>93</v>
      </c>
      <c r="D62" s="48" t="s">
        <v>48</v>
      </c>
      <c r="E62" s="30"/>
      <c r="F62" s="30">
        <v>46129.0</v>
      </c>
      <c r="G62" s="30">
        <v>46131.0</v>
      </c>
      <c r="H62" s="4">
        <f t="shared" si="6"/>
        <v>3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31"/>
      <c r="CB62" s="36"/>
      <c r="CC62" s="36"/>
      <c r="CD62" s="36"/>
      <c r="CE62" s="36"/>
      <c r="CF62" s="36"/>
      <c r="CG62" s="36"/>
      <c r="CH62" s="36"/>
      <c r="CI62" s="36"/>
      <c r="CJ62" s="36"/>
      <c r="CK62" s="36"/>
      <c r="CL62" s="36"/>
      <c r="CM62" s="36"/>
      <c r="CN62" s="36"/>
      <c r="CO62" s="36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</row>
    <row r="63" outlineLevel="1">
      <c r="A63" s="1"/>
      <c r="B63" s="32" t="s">
        <v>94</v>
      </c>
      <c r="C63" s="33" t="s">
        <v>95</v>
      </c>
      <c r="D63" s="48" t="s">
        <v>48</v>
      </c>
      <c r="E63" s="30"/>
      <c r="F63" s="30">
        <v>46126.0</v>
      </c>
      <c r="G63" s="30">
        <v>46128.0</v>
      </c>
      <c r="H63" s="4">
        <f t="shared" si="6"/>
        <v>3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31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36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</row>
    <row r="64" outlineLevel="1">
      <c r="A64" s="1"/>
      <c r="B64" s="32" t="s">
        <v>96</v>
      </c>
      <c r="C64" s="33" t="s">
        <v>97</v>
      </c>
      <c r="D64" s="48" t="s">
        <v>48</v>
      </c>
      <c r="E64" s="30"/>
      <c r="F64" s="30">
        <v>46129.0</v>
      </c>
      <c r="G64" s="30">
        <v>46131.0</v>
      </c>
      <c r="H64" s="4">
        <f t="shared" si="6"/>
        <v>3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31"/>
      <c r="CB64" s="36"/>
      <c r="CC64" s="36"/>
      <c r="CD64" s="36"/>
      <c r="CE64" s="36"/>
      <c r="CF64" s="36"/>
      <c r="CG64" s="36"/>
      <c r="CH64" s="36"/>
      <c r="CI64" s="36"/>
      <c r="CJ64" s="36"/>
      <c r="CK64" s="36"/>
      <c r="CL64" s="36"/>
      <c r="CM64" s="36"/>
      <c r="CN64" s="36"/>
      <c r="CO64" s="36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</row>
    <row r="65" outlineLevel="1">
      <c r="A65" s="1"/>
      <c r="B65" s="27">
        <v>4.3</v>
      </c>
      <c r="C65" s="28" t="s">
        <v>98</v>
      </c>
      <c r="D65" s="48" t="s">
        <v>48</v>
      </c>
      <c r="E65" s="30"/>
      <c r="F65" s="30">
        <v>46123.0</v>
      </c>
      <c r="G65" s="30">
        <v>46125.0</v>
      </c>
      <c r="H65" s="4">
        <f t="shared" si="6"/>
        <v>3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31"/>
      <c r="CB65" s="36"/>
      <c r="CC65" s="36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36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</row>
    <row r="66" outlineLevel="1">
      <c r="A66" s="1"/>
      <c r="B66" s="27">
        <v>4.4</v>
      </c>
      <c r="C66" s="28" t="s">
        <v>99</v>
      </c>
      <c r="D66" s="48"/>
      <c r="E66" s="30"/>
      <c r="F66" s="30">
        <v>46120.0</v>
      </c>
      <c r="G66" s="30">
        <v>46122.0</v>
      </c>
      <c r="H66" s="4">
        <f t="shared" si="6"/>
        <v>3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31"/>
      <c r="CB66" s="36"/>
      <c r="CC66" s="36"/>
      <c r="CD66" s="36"/>
      <c r="CE66" s="36"/>
      <c r="CF66" s="36"/>
      <c r="CG66" s="36"/>
      <c r="CH66" s="36"/>
      <c r="CI66" s="36"/>
      <c r="CJ66" s="36"/>
      <c r="CK66" s="36"/>
      <c r="CL66" s="36"/>
      <c r="CM66" s="36"/>
      <c r="CN66" s="36"/>
      <c r="CO66" s="36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</row>
    <row r="67" outlineLevel="1">
      <c r="A67" s="1"/>
      <c r="B67" s="32" t="s">
        <v>100</v>
      </c>
      <c r="C67" s="33" t="s">
        <v>101</v>
      </c>
      <c r="D67" s="48" t="s">
        <v>48</v>
      </c>
      <c r="E67" s="30"/>
      <c r="F67" s="30">
        <v>46120.0</v>
      </c>
      <c r="G67" s="30">
        <v>46122.0</v>
      </c>
      <c r="H67" s="4">
        <f t="shared" si="6"/>
        <v>3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31"/>
      <c r="CB67" s="36"/>
      <c r="CC67" s="36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36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</row>
    <row r="68" outlineLevel="1">
      <c r="A68" s="1"/>
      <c r="B68" s="32" t="s">
        <v>102</v>
      </c>
      <c r="C68" s="33" t="s">
        <v>103</v>
      </c>
      <c r="D68" s="48" t="s">
        <v>48</v>
      </c>
      <c r="E68" s="30"/>
      <c r="F68" s="30">
        <v>46120.0</v>
      </c>
      <c r="G68" s="30">
        <v>46122.0</v>
      </c>
      <c r="H68" s="4">
        <f t="shared" si="6"/>
        <v>3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31"/>
      <c r="CB68" s="36"/>
      <c r="CC68" s="36"/>
      <c r="CD68" s="36"/>
      <c r="CE68" s="36"/>
      <c r="CF68" s="36"/>
      <c r="CG68" s="36"/>
      <c r="CH68" s="36"/>
      <c r="CI68" s="36"/>
      <c r="CJ68" s="36"/>
      <c r="CK68" s="36"/>
      <c r="CL68" s="36"/>
      <c r="CM68" s="36"/>
      <c r="CN68" s="36"/>
      <c r="CO68" s="36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</row>
    <row r="69" outlineLevel="1">
      <c r="A69" s="1"/>
      <c r="B69" s="27">
        <v>4.5</v>
      </c>
      <c r="C69" s="28" t="s">
        <v>104</v>
      </c>
      <c r="D69" s="48" t="s">
        <v>48</v>
      </c>
      <c r="E69" s="30"/>
      <c r="F69" s="30">
        <v>46129.0</v>
      </c>
      <c r="G69" s="30">
        <v>46131.0</v>
      </c>
      <c r="H69" s="4">
        <f t="shared" si="6"/>
        <v>3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31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36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</row>
    <row r="70" outlineLevel="1">
      <c r="A70" s="1"/>
      <c r="B70" s="32" t="s">
        <v>105</v>
      </c>
      <c r="C70" s="33" t="s">
        <v>106</v>
      </c>
      <c r="D70" s="48" t="s">
        <v>48</v>
      </c>
      <c r="E70" s="30"/>
      <c r="F70" s="30">
        <v>46129.0</v>
      </c>
      <c r="G70" s="30">
        <v>46131.0</v>
      </c>
      <c r="H70" s="4">
        <f t="shared" si="6"/>
        <v>3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31"/>
      <c r="CB70" s="36"/>
      <c r="CC70" s="36"/>
      <c r="CD70" s="36"/>
      <c r="CE70" s="36"/>
      <c r="CF70" s="36"/>
      <c r="CG70" s="36"/>
      <c r="CH70" s="36"/>
      <c r="CI70" s="36"/>
      <c r="CJ70" s="36"/>
      <c r="CK70" s="36"/>
      <c r="CL70" s="36"/>
      <c r="CM70" s="36"/>
      <c r="CN70" s="36"/>
      <c r="CO70" s="36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</row>
    <row r="71" outlineLevel="1">
      <c r="A71" s="1"/>
      <c r="B71" s="27">
        <v>4.6</v>
      </c>
      <c r="C71" s="43" t="s">
        <v>19</v>
      </c>
      <c r="D71" s="48" t="s">
        <v>48</v>
      </c>
      <c r="E71" s="30"/>
      <c r="F71" s="30">
        <v>46132.0</v>
      </c>
      <c r="G71" s="30">
        <v>46141.0</v>
      </c>
      <c r="H71" s="4">
        <f t="shared" si="6"/>
        <v>10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31"/>
      <c r="CB71" s="36"/>
      <c r="CC71" s="36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36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</row>
    <row r="72" outlineLevel="1">
      <c r="A72" s="1"/>
      <c r="B72" s="40" t="s">
        <v>107</v>
      </c>
      <c r="C72" s="37" t="s">
        <v>108</v>
      </c>
      <c r="D72" s="48" t="s">
        <v>48</v>
      </c>
      <c r="E72" s="30"/>
      <c r="F72" s="30">
        <v>46132.0</v>
      </c>
      <c r="G72" s="30">
        <v>46134.0</v>
      </c>
      <c r="H72" s="4">
        <f t="shared" si="6"/>
        <v>3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31"/>
      <c r="CB72" s="36"/>
      <c r="CC72" s="36"/>
      <c r="CD72" s="36"/>
      <c r="CE72" s="36"/>
      <c r="CF72" s="36"/>
      <c r="CG72" s="36"/>
      <c r="CH72" s="36"/>
      <c r="CI72" s="36"/>
      <c r="CJ72" s="36"/>
      <c r="CK72" s="36"/>
      <c r="CL72" s="36"/>
      <c r="CM72" s="36"/>
      <c r="CN72" s="36"/>
      <c r="CO72" s="36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</row>
    <row r="73" outlineLevel="1">
      <c r="A73" s="1"/>
      <c r="B73" s="40" t="s">
        <v>109</v>
      </c>
      <c r="C73" s="37" t="s">
        <v>110</v>
      </c>
      <c r="D73" s="48" t="s">
        <v>48</v>
      </c>
      <c r="E73" s="30"/>
      <c r="F73" s="30">
        <v>46132.0</v>
      </c>
      <c r="G73" s="30">
        <v>46134.0</v>
      </c>
      <c r="H73" s="4">
        <f t="shared" si="6"/>
        <v>3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31"/>
      <c r="CB73" s="36"/>
      <c r="CC73" s="36"/>
      <c r="CD73" s="36"/>
      <c r="CE73" s="36"/>
      <c r="CF73" s="36"/>
      <c r="CG73" s="36"/>
      <c r="CH73" s="36"/>
      <c r="CI73" s="36"/>
      <c r="CJ73" s="36"/>
      <c r="CK73" s="36"/>
      <c r="CL73" s="36"/>
      <c r="CM73" s="36"/>
      <c r="CN73" s="36"/>
      <c r="CO73" s="36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</row>
    <row r="74" outlineLevel="1">
      <c r="A74" s="1"/>
      <c r="B74" s="40" t="s">
        <v>111</v>
      </c>
      <c r="C74" s="37" t="s">
        <v>112</v>
      </c>
      <c r="D74" s="48" t="s">
        <v>48</v>
      </c>
      <c r="E74" s="30"/>
      <c r="F74" s="30">
        <v>46139.0</v>
      </c>
      <c r="G74" s="30">
        <v>46141.0</v>
      </c>
      <c r="H74" s="4">
        <f t="shared" si="6"/>
        <v>3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31"/>
      <c r="CB74" s="36"/>
      <c r="CC74" s="36"/>
      <c r="CD74" s="36"/>
      <c r="CE74" s="36"/>
      <c r="CF74" s="36"/>
      <c r="CG74" s="36"/>
      <c r="CH74" s="36"/>
      <c r="CI74" s="36"/>
      <c r="CJ74" s="36"/>
      <c r="CK74" s="36"/>
      <c r="CL74" s="36"/>
      <c r="CM74" s="36"/>
      <c r="CN74" s="36"/>
      <c r="CO74" s="36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</row>
    <row r="75">
      <c r="A75" s="1"/>
      <c r="B75" s="44">
        <v>5.0</v>
      </c>
      <c r="C75" s="45" t="s">
        <v>113</v>
      </c>
      <c r="D75" s="23">
        <f>countif(D76:D78,"Done")/counta(D76:D78)</f>
        <v>0</v>
      </c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31"/>
      <c r="CB75" s="36"/>
      <c r="CC75" s="36"/>
      <c r="CD75" s="36"/>
      <c r="CE75" s="36"/>
      <c r="CF75" s="36"/>
      <c r="CG75" s="36"/>
      <c r="CH75" s="36"/>
      <c r="CI75" s="36"/>
      <c r="CJ75" s="36"/>
      <c r="CK75" s="36"/>
      <c r="CL75" s="36"/>
      <c r="CM75" s="36"/>
      <c r="CN75" s="36"/>
      <c r="CO75" s="36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</row>
    <row r="76" outlineLevel="1">
      <c r="A76" s="1"/>
      <c r="B76" s="42">
        <v>5.1</v>
      </c>
      <c r="C76" s="43" t="s">
        <v>114</v>
      </c>
      <c r="D76" s="48" t="s">
        <v>48</v>
      </c>
      <c r="E76" s="30"/>
      <c r="F76" s="30">
        <v>46135.0</v>
      </c>
      <c r="G76" s="30">
        <v>46137.0</v>
      </c>
      <c r="H76" s="4">
        <f t="shared" ref="H76:H78" si="7">G76-F76+1</f>
        <v>3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31"/>
      <c r="CB76" s="36"/>
      <c r="CC76" s="36"/>
      <c r="CD76" s="36"/>
      <c r="CE76" s="36"/>
      <c r="CF76" s="36"/>
      <c r="CG76" s="36"/>
      <c r="CH76" s="36"/>
      <c r="CI76" s="36"/>
      <c r="CJ76" s="36"/>
      <c r="CK76" s="36"/>
      <c r="CL76" s="36"/>
      <c r="CM76" s="36"/>
      <c r="CN76" s="36"/>
      <c r="CO76" s="36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</row>
    <row r="77" outlineLevel="1">
      <c r="A77" s="1"/>
      <c r="B77" s="42">
        <v>5.2</v>
      </c>
      <c r="C77" s="43" t="s">
        <v>115</v>
      </c>
      <c r="D77" s="48" t="s">
        <v>48</v>
      </c>
      <c r="E77" s="30"/>
      <c r="F77" s="30">
        <v>46135.0</v>
      </c>
      <c r="G77" s="30">
        <v>46137.0</v>
      </c>
      <c r="H77" s="4">
        <f t="shared" si="7"/>
        <v>3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31"/>
      <c r="CB77" s="36"/>
      <c r="CC77" s="36"/>
      <c r="CD77" s="36"/>
      <c r="CE77" s="36"/>
      <c r="CF77" s="36"/>
      <c r="CG77" s="36"/>
      <c r="CH77" s="36"/>
      <c r="CI77" s="36"/>
      <c r="CJ77" s="36"/>
      <c r="CK77" s="36"/>
      <c r="CL77" s="36"/>
      <c r="CM77" s="36"/>
      <c r="CN77" s="36"/>
      <c r="CO77" s="36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</row>
    <row r="78" outlineLevel="1">
      <c r="A78" s="1"/>
      <c r="B78" s="42">
        <v>5.3</v>
      </c>
      <c r="C78" s="43" t="s">
        <v>116</v>
      </c>
      <c r="D78" s="48" t="s">
        <v>48</v>
      </c>
      <c r="E78" s="30"/>
      <c r="F78" s="30">
        <v>46141.0</v>
      </c>
      <c r="G78" s="30">
        <v>46142.0</v>
      </c>
      <c r="H78" s="4">
        <f t="shared" si="7"/>
        <v>2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31"/>
      <c r="CB78" s="36"/>
      <c r="CC78" s="36"/>
      <c r="CD78" s="36"/>
      <c r="CE78" s="36"/>
      <c r="CF78" s="36"/>
      <c r="CG78" s="36"/>
      <c r="CH78" s="36"/>
      <c r="CI78" s="36"/>
      <c r="CJ78" s="36"/>
      <c r="CK78" s="36"/>
      <c r="CL78" s="36"/>
      <c r="CM78" s="36"/>
      <c r="CN78" s="36"/>
      <c r="CO78" s="36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</row>
    <row r="79" outlineLevel="1">
      <c r="A79" s="1"/>
      <c r="B79" s="44">
        <v>6.0</v>
      </c>
      <c r="C79" s="45" t="s">
        <v>117</v>
      </c>
      <c r="D79" s="23">
        <f>countif(D80:D83,"Done")/counta(D80:D83)</f>
        <v>0</v>
      </c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31"/>
      <c r="CB79" s="36"/>
      <c r="CC79" s="36"/>
      <c r="CD79" s="36"/>
      <c r="CE79" s="36"/>
      <c r="CF79" s="36"/>
      <c r="CG79" s="36"/>
      <c r="CH79" s="36"/>
      <c r="CI79" s="36"/>
      <c r="CJ79" s="36"/>
      <c r="CK79" s="36"/>
      <c r="CL79" s="36"/>
      <c r="CM79" s="36"/>
      <c r="CN79" s="36"/>
      <c r="CO79" s="36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</row>
    <row r="80" outlineLevel="1">
      <c r="A80" s="1"/>
      <c r="B80" s="42">
        <v>6.1</v>
      </c>
      <c r="C80" s="43" t="s">
        <v>118</v>
      </c>
      <c r="D80" s="48" t="s">
        <v>48</v>
      </c>
      <c r="E80" s="30"/>
      <c r="F80" s="30">
        <v>46135.0</v>
      </c>
      <c r="G80" s="30">
        <v>46137.0</v>
      </c>
      <c r="H80" s="4">
        <f t="shared" ref="H80:H83" si="8">G80-F80+1</f>
        <v>3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31"/>
      <c r="CB80" s="36"/>
      <c r="CC80" s="36"/>
      <c r="CD80" s="36"/>
      <c r="CE80" s="36"/>
      <c r="CF80" s="36"/>
      <c r="CG80" s="36"/>
      <c r="CH80" s="36"/>
      <c r="CI80" s="36"/>
      <c r="CJ80" s="36"/>
      <c r="CK80" s="36"/>
      <c r="CL80" s="36"/>
      <c r="CM80" s="36"/>
      <c r="CN80" s="36"/>
      <c r="CO80" s="36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</row>
    <row r="81" outlineLevel="1">
      <c r="A81" s="1"/>
      <c r="B81" s="40" t="s">
        <v>119</v>
      </c>
      <c r="C81" s="37" t="s">
        <v>120</v>
      </c>
      <c r="D81" s="48" t="s">
        <v>48</v>
      </c>
      <c r="E81" s="30"/>
      <c r="F81" s="30">
        <v>46135.0</v>
      </c>
      <c r="G81" s="30">
        <v>46137.0</v>
      </c>
      <c r="H81" s="4">
        <f t="shared" si="8"/>
        <v>3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31"/>
      <c r="CB81" s="36"/>
      <c r="CC81" s="36"/>
      <c r="CD81" s="36"/>
      <c r="CE81" s="36"/>
      <c r="CF81" s="36"/>
      <c r="CG81" s="36"/>
      <c r="CH81" s="36"/>
      <c r="CI81" s="36"/>
      <c r="CJ81" s="36"/>
      <c r="CK81" s="36"/>
      <c r="CL81" s="36"/>
      <c r="CM81" s="36"/>
      <c r="CN81" s="36"/>
      <c r="CO81" s="36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</row>
    <row r="82" outlineLevel="1">
      <c r="A82" s="1"/>
      <c r="B82" s="40" t="s">
        <v>121</v>
      </c>
      <c r="C82" s="37" t="s">
        <v>122</v>
      </c>
      <c r="D82" s="48" t="s">
        <v>48</v>
      </c>
      <c r="E82" s="30"/>
      <c r="F82" s="30">
        <v>46135.0</v>
      </c>
      <c r="G82" s="30">
        <v>46137.0</v>
      </c>
      <c r="H82" s="4">
        <f t="shared" si="8"/>
        <v>3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31"/>
      <c r="CB82" s="36"/>
      <c r="CC82" s="36"/>
      <c r="CD82" s="36"/>
      <c r="CE82" s="36"/>
      <c r="CF82" s="36"/>
      <c r="CG82" s="36"/>
      <c r="CH82" s="36"/>
      <c r="CI82" s="36"/>
      <c r="CJ82" s="36"/>
      <c r="CK82" s="36"/>
      <c r="CL82" s="36"/>
      <c r="CM82" s="36"/>
      <c r="CN82" s="36"/>
      <c r="CO82" s="36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</row>
    <row r="83" outlineLevel="1">
      <c r="A83" s="1"/>
      <c r="B83" s="42">
        <v>6.2</v>
      </c>
      <c r="C83" s="43" t="s">
        <v>123</v>
      </c>
      <c r="D83" s="48" t="s">
        <v>48</v>
      </c>
      <c r="E83" s="30"/>
      <c r="F83" s="30">
        <v>46141.0</v>
      </c>
      <c r="G83" s="30">
        <v>46142.0</v>
      </c>
      <c r="H83" s="4">
        <f t="shared" si="8"/>
        <v>2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31"/>
      <c r="CB83" s="36"/>
      <c r="CC83" s="36"/>
      <c r="CD83" s="36"/>
      <c r="CE83" s="36"/>
      <c r="CF83" s="36"/>
      <c r="CG83" s="36"/>
      <c r="CH83" s="36"/>
      <c r="CI83" s="36"/>
      <c r="CJ83" s="36"/>
      <c r="CK83" s="36"/>
      <c r="CL83" s="36"/>
      <c r="CM83" s="36"/>
      <c r="CN83" s="36"/>
      <c r="CO83" s="36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</row>
    <row r="84">
      <c r="A84" s="1"/>
      <c r="B84" s="56">
        <v>7.0</v>
      </c>
      <c r="C84" s="57" t="s">
        <v>124</v>
      </c>
      <c r="D84" s="23">
        <f>countif(D85:D91,"Done")/counta(D85:D91)</f>
        <v>0</v>
      </c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31"/>
      <c r="CB84" s="36"/>
      <c r="CC84" s="36"/>
      <c r="CD84" s="36"/>
      <c r="CE84" s="36"/>
      <c r="CF84" s="36"/>
      <c r="CG84" s="36"/>
      <c r="CH84" s="36"/>
      <c r="CI84" s="36"/>
      <c r="CJ84" s="36"/>
      <c r="CK84" s="36"/>
      <c r="CL84" s="36"/>
      <c r="CM84" s="36"/>
      <c r="CN84" s="36"/>
      <c r="CO84" s="36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</row>
    <row r="85" outlineLevel="1">
      <c r="A85" s="1"/>
      <c r="B85" s="42">
        <v>7.1</v>
      </c>
      <c r="C85" s="43" t="s">
        <v>125</v>
      </c>
      <c r="D85" s="48" t="s">
        <v>48</v>
      </c>
      <c r="E85" s="30"/>
      <c r="F85" s="30">
        <v>46144.0</v>
      </c>
      <c r="G85" s="30">
        <v>46149.0</v>
      </c>
      <c r="H85" s="4">
        <f t="shared" ref="H85:H91" si="9">G85-F85+1</f>
        <v>6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31"/>
      <c r="CB85" s="36"/>
      <c r="CC85" s="36"/>
      <c r="CD85" s="36"/>
      <c r="CE85" s="36"/>
      <c r="CF85" s="36"/>
      <c r="CG85" s="36"/>
      <c r="CH85" s="36"/>
      <c r="CI85" s="36"/>
      <c r="CJ85" s="36"/>
      <c r="CK85" s="36"/>
      <c r="CL85" s="36"/>
      <c r="CM85" s="36"/>
      <c r="CN85" s="36"/>
      <c r="CO85" s="36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</row>
    <row r="86" outlineLevel="1">
      <c r="A86" s="1"/>
      <c r="B86" s="40" t="s">
        <v>126</v>
      </c>
      <c r="C86" s="37" t="s">
        <v>127</v>
      </c>
      <c r="D86" s="48" t="s">
        <v>48</v>
      </c>
      <c r="E86" s="30"/>
      <c r="F86" s="30">
        <v>46144.0</v>
      </c>
      <c r="G86" s="30">
        <v>46144.0</v>
      </c>
      <c r="H86" s="4">
        <f t="shared" si="9"/>
        <v>1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31"/>
      <c r="CB86" s="36"/>
      <c r="CC86" s="36"/>
      <c r="CD86" s="36"/>
      <c r="CE86" s="36"/>
      <c r="CF86" s="36"/>
      <c r="CG86" s="36"/>
      <c r="CH86" s="36"/>
      <c r="CI86" s="36"/>
      <c r="CJ86" s="36"/>
      <c r="CK86" s="36"/>
      <c r="CL86" s="36"/>
      <c r="CM86" s="36"/>
      <c r="CN86" s="36"/>
      <c r="CO86" s="36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</row>
    <row r="87" outlineLevel="1">
      <c r="A87" s="1"/>
      <c r="B87" s="40" t="s">
        <v>128</v>
      </c>
      <c r="C87" s="37" t="s">
        <v>129</v>
      </c>
      <c r="D87" s="48" t="s">
        <v>48</v>
      </c>
      <c r="E87" s="30"/>
      <c r="F87" s="30">
        <v>46144.0</v>
      </c>
      <c r="G87" s="30">
        <v>46146.0</v>
      </c>
      <c r="H87" s="4">
        <f t="shared" si="9"/>
        <v>3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31"/>
      <c r="CB87" s="36"/>
      <c r="CC87" s="36"/>
      <c r="CD87" s="36"/>
      <c r="CE87" s="36"/>
      <c r="CF87" s="36"/>
      <c r="CG87" s="36"/>
      <c r="CH87" s="36"/>
      <c r="CI87" s="36"/>
      <c r="CJ87" s="36"/>
      <c r="CK87" s="36"/>
      <c r="CL87" s="36"/>
      <c r="CM87" s="36"/>
      <c r="CN87" s="36"/>
      <c r="CO87" s="36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</row>
    <row r="88" outlineLevel="1">
      <c r="A88" s="1"/>
      <c r="B88" s="40" t="s">
        <v>130</v>
      </c>
      <c r="C88" s="37" t="s">
        <v>131</v>
      </c>
      <c r="D88" s="48" t="s">
        <v>48</v>
      </c>
      <c r="E88" s="30"/>
      <c r="F88" s="30">
        <v>46147.0</v>
      </c>
      <c r="G88" s="30">
        <v>46149.0</v>
      </c>
      <c r="H88" s="4">
        <f t="shared" si="9"/>
        <v>3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31"/>
      <c r="CB88" s="36"/>
      <c r="CC88" s="36"/>
      <c r="CD88" s="36"/>
      <c r="CE88" s="36"/>
      <c r="CF88" s="36"/>
      <c r="CG88" s="36"/>
      <c r="CH88" s="36"/>
      <c r="CI88" s="36"/>
      <c r="CJ88" s="36"/>
      <c r="CK88" s="36"/>
      <c r="CL88" s="36"/>
      <c r="CM88" s="36"/>
      <c r="CN88" s="36"/>
      <c r="CO88" s="36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</row>
    <row r="89" outlineLevel="1">
      <c r="A89" s="1"/>
      <c r="B89" s="42">
        <v>7.2</v>
      </c>
      <c r="C89" s="43" t="s">
        <v>19</v>
      </c>
      <c r="D89" s="48" t="s">
        <v>48</v>
      </c>
      <c r="E89" s="30"/>
      <c r="F89" s="30">
        <v>46150.0</v>
      </c>
      <c r="G89" s="30">
        <v>46154.0</v>
      </c>
      <c r="H89" s="4">
        <f t="shared" si="9"/>
        <v>5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31"/>
      <c r="CB89" s="36"/>
      <c r="CC89" s="36"/>
      <c r="CD89" s="36"/>
      <c r="CE89" s="36"/>
      <c r="CF89" s="36"/>
      <c r="CG89" s="36"/>
      <c r="CH89" s="36"/>
      <c r="CI89" s="36"/>
      <c r="CJ89" s="36"/>
      <c r="CK89" s="36"/>
      <c r="CL89" s="36"/>
      <c r="CM89" s="36"/>
      <c r="CN89" s="36"/>
      <c r="CO89" s="36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</row>
    <row r="90" outlineLevel="1">
      <c r="A90" s="1"/>
      <c r="B90" s="40" t="s">
        <v>132</v>
      </c>
      <c r="C90" s="37" t="s">
        <v>133</v>
      </c>
      <c r="D90" s="48" t="s">
        <v>48</v>
      </c>
      <c r="E90" s="30"/>
      <c r="F90" s="30">
        <v>46150.0</v>
      </c>
      <c r="G90" s="30">
        <v>46151.0</v>
      </c>
      <c r="H90" s="4">
        <f t="shared" si="9"/>
        <v>2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31"/>
      <c r="CB90" s="36"/>
      <c r="CC90" s="36"/>
      <c r="CD90" s="36"/>
      <c r="CE90" s="36"/>
      <c r="CF90" s="36"/>
      <c r="CG90" s="36"/>
      <c r="CH90" s="36"/>
      <c r="CI90" s="36"/>
      <c r="CJ90" s="36"/>
      <c r="CK90" s="36"/>
      <c r="CL90" s="36"/>
      <c r="CM90" s="36"/>
      <c r="CN90" s="36"/>
      <c r="CO90" s="36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</row>
    <row r="91" outlineLevel="1">
      <c r="A91" s="1"/>
      <c r="B91" s="40" t="s">
        <v>134</v>
      </c>
      <c r="C91" s="37" t="s">
        <v>135</v>
      </c>
      <c r="D91" s="48" t="s">
        <v>48</v>
      </c>
      <c r="E91" s="30"/>
      <c r="F91" s="30">
        <v>46152.0</v>
      </c>
      <c r="G91" s="30">
        <v>46154.0</v>
      </c>
      <c r="H91" s="4">
        <f t="shared" si="9"/>
        <v>3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31"/>
      <c r="CB91" s="36"/>
      <c r="CC91" s="36"/>
      <c r="CD91" s="36"/>
      <c r="CE91" s="36"/>
      <c r="CF91" s="36"/>
      <c r="CG91" s="36"/>
      <c r="CH91" s="36"/>
      <c r="CI91" s="36"/>
      <c r="CJ91" s="36"/>
      <c r="CK91" s="36"/>
      <c r="CL91" s="36"/>
      <c r="CM91" s="36"/>
      <c r="CN91" s="36"/>
      <c r="CO91" s="36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</row>
    <row r="92">
      <c r="A92" s="58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9"/>
      <c r="BD92" s="59"/>
      <c r="BE92" s="59"/>
      <c r="BF92" s="59"/>
      <c r="BG92" s="59"/>
      <c r="BH92" s="59"/>
      <c r="BI92" s="59"/>
      <c r="BJ92" s="59"/>
      <c r="BK92" s="59"/>
      <c r="BL92" s="59"/>
      <c r="BM92" s="59"/>
      <c r="BN92" s="59"/>
      <c r="BO92" s="59"/>
      <c r="BP92" s="59"/>
      <c r="BQ92" s="59"/>
      <c r="BR92" s="59"/>
      <c r="BS92" s="59"/>
      <c r="BT92" s="59"/>
      <c r="BU92" s="59"/>
      <c r="BV92" s="59"/>
      <c r="BW92" s="59"/>
      <c r="BX92" s="59"/>
      <c r="BY92" s="59"/>
      <c r="BZ92" s="59"/>
      <c r="CA92" s="59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</row>
  </sheetData>
  <mergeCells count="2">
    <mergeCell ref="I4:AL4"/>
    <mergeCell ref="AM4:BH4"/>
  </mergeCells>
  <conditionalFormatting sqref="I7:BH91 BI7:BZ7 BI11:CO91 E35:H35 E53:H53 E75:H75 E79:H79 E84:H84">
    <cfRule type="expression" dxfId="0" priority="1">
      <formula>AND(I$5&gt;=$F7,I$5&lt;=$G7,$D7="Plan")</formula>
    </cfRule>
  </conditionalFormatting>
  <conditionalFormatting sqref="I7:BH91 BI7:BZ7 BI11:CO91 E35:H35 E53:H53 E75:H75 E79:H79 E84:H84">
    <cfRule type="expression" dxfId="1" priority="2">
      <formula>AND(I$5&gt;=$F7,I$5&lt;=$G7,$D7="Doing")</formula>
    </cfRule>
  </conditionalFormatting>
  <conditionalFormatting sqref="I7:BH91 BI7:BZ7 BI11:CO91 E35:H35 E53:H53 E75:H75 E79:H79 E84:H84">
    <cfRule type="expression" dxfId="2" priority="3">
      <formula>AND(I$5&gt;=$F7,I$5&lt;=$G7,$D7="Late")</formula>
    </cfRule>
  </conditionalFormatting>
  <conditionalFormatting sqref="I7:BH91 BI7:BZ7 BI11:CO91 E35:H35 E53:H53 E75:H75 E79:H79 E84:H84">
    <cfRule type="expression" dxfId="3" priority="4">
      <formula>AND(I$5&gt;=$F7,I$5&lt;=$G7,$D7="Done")</formula>
    </cfRule>
  </conditionalFormatting>
  <conditionalFormatting sqref="I7:BH91 BI7:BZ7 BI11:CO91 E35:H35 E53:H53 E75:H75 E79:H79 E84:H84">
    <cfRule type="expression" dxfId="4" priority="5">
      <formula>AND(I$5&gt;=$F7,I$5&lt;=$G7,$D7="Cancel")</formula>
    </cfRule>
  </conditionalFormatting>
  <conditionalFormatting sqref="D7:D91">
    <cfRule type="cellIs" dxfId="5" priority="6" operator="equal">
      <formula>"Done"</formula>
    </cfRule>
  </conditionalFormatting>
  <conditionalFormatting sqref="D7:D91">
    <cfRule type="cellIs" dxfId="6" priority="7" operator="equal">
      <formula>"Late"</formula>
    </cfRule>
  </conditionalFormatting>
  <conditionalFormatting sqref="D7:D91">
    <cfRule type="cellIs" dxfId="7" priority="8" operator="equal">
      <formula>"Doing"</formula>
    </cfRule>
  </conditionalFormatting>
  <conditionalFormatting sqref="D7:D91">
    <cfRule type="cellIs" dxfId="8" priority="9" operator="equal">
      <formula>"Cancel"</formula>
    </cfRule>
  </conditionalFormatting>
  <conditionalFormatting sqref="D7:D91">
    <cfRule type="cellIs" dxfId="9" priority="10" operator="equal">
      <formula>"Plan"</formula>
    </cfRule>
  </conditionalFormatting>
  <conditionalFormatting sqref="I5:CO6 CP5:EF5">
    <cfRule type="expression" dxfId="10" priority="11">
      <formula>I$6="S"</formula>
    </cfRule>
  </conditionalFormatting>
  <conditionalFormatting sqref="I5:EF5">
    <cfRule type="timePeriod" dxfId="11" priority="12" timePeriod="today"/>
  </conditionalFormatting>
  <conditionalFormatting sqref="BI74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DropDown="1" showErrorMessage="1" sqref="D8:D17 D19:D34 D36:D52 D54:D74 D76:D78 D80:D83 D85:D91">
      <formula1>"Late,Plan,Doing,Done,Cancel"</formula1>
    </dataValidation>
    <dataValidation type="custom" allowBlank="1" showDropDown="1" sqref="I5:EF5 E7:H7 E8:G34 E36:G52 E54:G74 E76:G78 E80:G83 E85:G91">
      <formula1>OR(NOT(ISERROR(DATEVALUE(E5))), AND(ISNUMBER(E5), LEFT(CELL("format", E5))="D"))</formula1>
    </dataValidation>
  </dataValidations>
  <drawing r:id="rId1"/>
</worksheet>
</file>